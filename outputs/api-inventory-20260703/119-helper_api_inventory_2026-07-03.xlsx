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1d1a2d9eec40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350b4f355b84b0b"/>
    <x:sheet xmlns:r="http://schemas.openxmlformats.org/officeDocument/2006/relationships" name="API Inventory" sheetId="2" r:id="R0d63b89d7e7d4635"/>
    <x:sheet xmlns:r="http://schemas.openxmlformats.org/officeDocument/2006/relationships" name="Worker Routes" sheetId="3" r:id="R760c0fc8f3194a62"/>
    <x:sheet xmlns:r="http://schemas.openxmlformats.org/officeDocument/2006/relationships" name="Secrets" sheetId="4" r:id="Rb3425c30fcc14f64"/>
    <x:sheet xmlns:r="http://schemas.openxmlformats.org/officeDocument/2006/relationships" name="Static Data" sheetId="5" r:id="R5b3a1ff92ada46f8"/>
    <x:sheet xmlns:r="http://schemas.openxmlformats.org/officeDocument/2006/relationships" name="Candidates" sheetId="6" r:id="R7751654bf00e41ec"/>
    <x:sheet xmlns:r="http://schemas.openxmlformats.org/officeDocument/2006/relationships" name="Usage Evidence" sheetId="7" r:id="Rdd1ac99b84cc43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7">
    <x:font>
      <x:sz val="11"/>
      <x:name val="Carlito"/>
    </x:font>
    <x:font>
      <x:b/>
      <x:sz val="18"/>
      <x:color rgb="FFFFFFFF"/>
      <x:name val="Carlito"/>
    </x:font>
    <x:font>
      <x:sz val="11"/>
      <x:color rgb="FF334155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  <x:font>
      <x:b/>
      <x:sz val="11"/>
      <x:color rgb="FF7C2D12"/>
      <x:name val="Carlito"/>
    </x:font>
    <x:font>
      <x:sz val="11"/>
      <x:color rgb="FF92400E"/>
      <x:name val="Carlito"/>
    </x:font>
    <x:font>
      <x:sz val="11"/>
      <x:color rgb="FF111827"/>
      <x:name val="Carlito"/>
    </x:font>
    <x:font>
      <x:b/>
      <x:sz val="11"/>
      <x:color rgb="FF166534"/>
      <x:name val="Carlito"/>
    </x:font>
    <x:font>
      <x:b/>
      <x:sz val="11"/>
      <x:color rgb="FF92400E"/>
      <x:name val="Carlito"/>
    </x:font>
    <x:font>
      <x:b/>
      <x:sz val="11"/>
      <x:color rgb="FF075985"/>
      <x:name val="Carlito"/>
    </x:font>
    <x:font>
      <x:b/>
      <x:sz val="11"/>
      <x:color rgb="FF9F1239"/>
      <x:name val="Carlito"/>
    </x:font>
    <x:font>
      <x:b/>
      <x:sz val="11"/>
      <x:color rgb="FF9A3412"/>
      <x:name val="Carlito"/>
    </x:font>
    <x:font>
      <x:b/>
      <x:sz val="11"/>
      <x:color rgb="FF991B1B"/>
      <x:name val="Carlito"/>
    </x:font>
    <x:font>
      <x:b/>
      <x:sz val="11"/>
      <x:color rgb="FF374151"/>
      <x:name val="Carlito"/>
    </x:font>
    <x:font>
      <x:b/>
      <x:sz val="11"/>
      <x:color rgb="FF6B21A8"/>
      <x:name val="Carlito"/>
    </x:font>
    <x:font>
      <x:b/>
      <x:sz val="11"/>
      <x:color rgb="FF1D4ED8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1E3A8A"/>
      </x:patternFill>
    </x:fill>
    <x:fill>
      <x:patternFill patternType="solid">
        <x:fgColor rgb="FFF8FAFC"/>
      </x:patternFill>
    </x:fill>
    <x:fill>
      <x:patternFill patternType="solid">
        <x:fgColor rgb="FF7C2D12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E0F2FE"/>
      </x:patternFill>
    </x:fill>
    <x:fill>
      <x:patternFill patternType="solid">
        <x:fgColor rgb="FFFFE4E6"/>
      </x:patternFill>
    </x:fill>
    <x:fill>
      <x:patternFill patternType="solid">
        <x:fgColor rgb="FFFFEDD5"/>
      </x:patternFill>
    </x:fill>
    <x:fill>
      <x:patternFill patternType="solid">
        <x:fgColor rgb="FFFEE2E2"/>
      </x:patternFill>
    </x:fill>
    <x:fill>
      <x:patternFill patternType="solid">
        <x:fgColor rgb="FFE5E7EB"/>
      </x:patternFill>
    </x:fill>
    <x:fill>
      <x:patternFill patternType="solid">
        <x:fgColor rgb="FFF3E8FF"/>
      </x:patternFill>
    </x:fill>
    <x:fill>
      <x:patternFill patternType="solid">
        <x:fgColor rgb="FFDBEAFE"/>
      </x:patternFill>
    </x:fill>
  </x:fills>
  <x:borders count="14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E2E8F0"/>
      </x:right>
      <x:top style="thin">
        <x:color rgb="FFCBD5E1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CBD5E1"/>
      </x:top>
      <x:bottom style="thin">
        <x:color rgb="FFE2E8F0"/>
      </x:bottom>
    </x:border>
    <x:border>
      <x:left style="thin">
        <x:color rgb="FFE2E8F0"/>
      </x:left>
      <x:right style="thin">
        <x:color rgb="FFCBD5E1"/>
      </x:right>
      <x:top style="thin">
        <x:color rgb="FFCBD5E1"/>
      </x:top>
      <x:bottom style="thin">
        <x:color rgb="FFE2E8F0"/>
      </x:bottom>
    </x:border>
    <x:border>
      <x:left style="thin">
        <x:color rgb="FFCBD5E1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CBD5E1"/>
      </x:right>
      <x:top style="thin">
        <x:color rgb="FFE2E8F0"/>
      </x:top>
      <x:bottom style="thin">
        <x:color rgb="FFE2E8F0"/>
      </x:bottom>
    </x:border>
    <x:border>
      <x:left style="thin">
        <x:color rgb="FFCBD5E1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right style="thin">
        <x:color rgb="FFCBD5E1"/>
      </x:right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wrapText="1"/>
    </x:xf>
    <x:xf numFmtId="0" fontId="7" fillId="0" borderId="11" xfId="0" applyNumberFormat="1" applyFont="1" applyFill="1" applyBorder="1" applyAlignment="1">
      <x:alignment wrapText="1"/>
    </x:xf>
    <x:xf numFmtId="0" fontId="7" fillId="0" borderId="12" xfId="0" applyNumberFormat="1" applyFont="1" applyFill="1" applyBorder="1" applyAlignment="1">
      <x:alignment wrapText="1"/>
    </x:xf>
    <x:xf numFmtId="0" fontId="7" fillId="0" borderId="13" xfId="0" applyNumberFormat="1" applyFont="1" applyFill="1" applyBorder="1" applyAlignment="1">
      <x:alignment wrapText="1"/>
    </x:xf>
    <x:xf numFmtId="0" fontId="7" fillId="8" borderId="9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wrapText="1"/>
    </x:xf>
    <x:xf numFmtId="0" fontId="7" fillId="7" borderId="9" xfId="0" applyNumberFormat="1" applyFont="1" applyFill="1" applyBorder="1" applyAlignment="1">
      <x:alignment wrapText="1"/>
    </x:xf>
    <x:xf numFmtId="0" fontId="9" fillId="7" borderId="9" xfId="0" applyNumberFormat="1" applyFont="1" applyFill="1" applyBorder="1" applyAlignment="1">
      <x:alignment wrapText="1"/>
    </x:xf>
    <x:xf numFmtId="0" fontId="7" fillId="9" borderId="9" xfId="0" applyNumberFormat="1" applyFont="1" applyFill="1" applyBorder="1" applyAlignment="1">
      <x:alignment wrapText="1"/>
    </x:xf>
    <x:xf numFmtId="0" fontId="10" fillId="9" borderId="9" xfId="0" applyNumberFormat="1" applyFont="1" applyFill="1" applyBorder="1" applyAlignment="1">
      <x:alignment wrapText="1"/>
    </x:xf>
    <x:xf numFmtId="0" fontId="7" fillId="10" borderId="9" xfId="0" applyNumberFormat="1" applyFont="1" applyFill="1" applyBorder="1" applyAlignment="1">
      <x:alignment wrapText="1"/>
    </x:xf>
    <x:xf numFmtId="0" fontId="11" fillId="10" borderId="9" xfId="0" applyNumberFormat="1" applyFont="1" applyFill="1" applyBorder="1" applyAlignment="1">
      <x:alignment wrapText="1"/>
    </x:xf>
    <x:xf numFmtId="0" fontId="7" fillId="11" borderId="9" xfId="0" applyNumberFormat="1" applyFont="1" applyFill="1" applyBorder="1" applyAlignment="1">
      <x:alignment wrapText="1"/>
    </x:xf>
    <x:xf numFmtId="0" fontId="12" fillId="11" borderId="9" xfId="0" applyNumberFormat="1" applyFont="1" applyFill="1" applyBorder="1" applyAlignment="1">
      <x:alignment wrapText="1"/>
    </x:xf>
    <x:xf numFmtId="0" fontId="7" fillId="12" borderId="9" xfId="0" applyNumberFormat="1" applyFont="1" applyFill="1" applyBorder="1" applyAlignment="1">
      <x:alignment wrapText="1"/>
    </x:xf>
    <x:xf numFmtId="0" fontId="13" fillId="12" borderId="9" xfId="0" applyNumberFormat="1" applyFont="1" applyFill="1" applyBorder="1" applyAlignment="1">
      <x:alignment wrapText="1"/>
    </x:xf>
    <x:xf numFmtId="0" fontId="7" fillId="8" borderId="12" xfId="0" applyNumberFormat="1" applyFont="1" applyFill="1" applyBorder="1" applyAlignment="1">
      <x:alignment wrapText="1"/>
    </x:xf>
    <x:xf numFmtId="0" fontId="8" fillId="8" borderId="12" xfId="0" applyNumberFormat="1" applyFont="1" applyFill="1" applyBorder="1" applyAlignment="1">
      <x:alignment wrapText="1"/>
    </x:xf>
    <x:xf numFmtId="0" fontId="7" fillId="12" borderId="12" xfId="0" applyNumberFormat="1" applyFont="1" applyFill="1" applyBorder="1" applyAlignment="1">
      <x:alignment wrapText="1"/>
    </x:xf>
    <x:xf numFmtId="0" fontId="13" fillId="12" borderId="12" xfId="0" applyNumberFormat="1" applyFont="1" applyFill="1" applyBorder="1" applyAlignment="1">
      <x:alignment wrapText="1"/>
    </x:xf>
    <x:xf numFmtId="0" fontId="7" fillId="13" borderId="9" xfId="0" applyNumberFormat="1" applyFont="1" applyFill="1" applyBorder="1" applyAlignment="1">
      <x:alignment wrapText="1"/>
    </x:xf>
    <x:xf numFmtId="0" fontId="14" fillId="13" borderId="9" xfId="0" applyNumberFormat="1" applyFont="1" applyFill="1" applyBorder="1" applyAlignment="1">
      <x:alignment wrapText="1"/>
    </x:xf>
    <x:xf numFmtId="0" fontId="7" fillId="14" borderId="9" xfId="0" applyNumberFormat="1" applyFont="1" applyFill="1" applyBorder="1" applyAlignment="1">
      <x:alignment wrapText="1"/>
    </x:xf>
    <x:xf numFmtId="0" fontId="15" fillId="14" borderId="9" xfId="0" applyNumberFormat="1" applyFont="1" applyFill="1" applyBorder="1" applyAlignment="1">
      <x:alignment wrapText="1"/>
    </x:xf>
    <x:xf numFmtId="0" fontId="7" fillId="14" borderId="12" xfId="0" applyNumberFormat="1" applyFont="1" applyFill="1" applyBorder="1" applyAlignment="1">
      <x:alignment wrapText="1"/>
    </x:xf>
    <x:xf numFmtId="0" fontId="15" fillId="14" borderId="12" xfId="0" applyNumberFormat="1" applyFont="1" applyFill="1" applyBorder="1" applyAlignment="1">
      <x:alignment wrapText="1"/>
    </x:xf>
    <x:xf numFmtId="0" fontId="7" fillId="9" borderId="12" xfId="0" applyNumberFormat="1" applyFont="1" applyFill="1" applyBorder="1" applyAlignment="1">
      <x:alignment wrapText="1"/>
    </x:xf>
    <x:xf numFmtId="0" fontId="10" fillId="9" borderId="12" xfId="0" applyNumberFormat="1" applyFont="1" applyFill="1" applyBorder="1" applyAlignment="1">
      <x:alignment wrapText="1"/>
    </x:xf>
    <x:xf numFmtId="0" fontId="7" fillId="15" borderId="9" xfId="0" applyNumberFormat="1" applyFont="1" applyFill="1" applyBorder="1" applyAlignment="1">
      <x:alignment wrapText="1"/>
    </x:xf>
    <x:xf numFmtId="0" fontId="16" fillId="15" borderId="9" xfId="0" applyNumberFormat="1" applyFont="1" applyFill="1" applyBorder="1" applyAlignment="1">
      <x:alignment wrapText="1"/>
    </x:xf>
    <x:xf numFmtId="0" fontId="7" fillId="13" borderId="12" xfId="0" applyNumberFormat="1" applyFont="1" applyFill="1" applyBorder="1" applyAlignment="1">
      <x:alignment wrapText="1"/>
    </x:xf>
    <x:xf numFmtId="0" fontId="14" fillId="13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02db383be34973" /><Relationship Type="http://schemas.openxmlformats.org/officeDocument/2006/relationships/theme" Target="/xl/theme/theme1.xml" Id="Ref5e081a6bc94718" /><Relationship Type="http://schemas.openxmlformats.org/officeDocument/2006/relationships/sharedStrings" Target="/xl/sharedStrings.xml" Id="R5beac818c89f47e8" /><Relationship Type="http://schemas.openxmlformats.org/officeDocument/2006/relationships/worksheet" Target="/xl/worksheets/sheet1.xml" Id="R8350b4f355b84b0b" /><Relationship Type="http://schemas.openxmlformats.org/officeDocument/2006/relationships/worksheet" Target="/xl/worksheets/sheet2.xml" Id="R0d63b89d7e7d4635" /><Relationship Type="http://schemas.openxmlformats.org/officeDocument/2006/relationships/worksheet" Target="/xl/worksheets/sheet3.xml" Id="R760c0fc8f3194a62" /><Relationship Type="http://schemas.openxmlformats.org/officeDocument/2006/relationships/worksheet" Target="/xl/worksheets/sheet4.xml" Id="Rb3425c30fcc14f64" /><Relationship Type="http://schemas.openxmlformats.org/officeDocument/2006/relationships/worksheet" Target="/xl/worksheets/sheet5.xml" Id="R5b3a1ff92ada46f8" /><Relationship Type="http://schemas.openxmlformats.org/officeDocument/2006/relationships/worksheet" Target="/xl/worksheets/sheet6.xml" Id="R7751654bf00e41ec" /><Relationship Type="http://schemas.openxmlformats.org/officeDocument/2006/relationships/worksheet" Target="/xl/worksheets/sheet7.xml" Id="Rdd1ac99b84cc435d" /></Relationships>
</file>

<file path=xl/tables/table1.xml><?xml version="1.0" encoding="utf-8"?>
<x:table xmlns:x="http://schemas.openxmlformats.org/spreadsheetml/2006/main" id="1" name="API_Inventory" displayName="API_Inventory" ref="A1:L30" headerRowCount="1" totalsRowCount="0" totalsRowShown="0">
  <x:autoFilter ref="A1:L30"/>
  <x:tableColumns count="12">
    <x:tableColumn id="1" name="ID"/>
    <x:tableColumn id="2" name="API/서비스"/>
    <x:tableColumn id="3" name="분류"/>
    <x:tableColumn id="4" name="제공기관/플랫폼"/>
    <x:tableColumn id="5" name="키/시크릿"/>
    <x:tableColumn id="6" name="사용상태"/>
    <x:tableColumn id="7" name="현재 사용 경로"/>
    <x:tableColumn id="8" name="내부 엔드포인트/정적 경로"/>
    <x:tableColumn id="9" name="업스트림/소스"/>
    <x:tableColumn id="10" name="담당 기능/화면"/>
    <x:tableColumn id="11" name="근거 파일"/>
    <x:tableColumn id="12" name="비고/조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ker_Routes" displayName="Worker_Routes" ref="A1:J27" headerRowCount="1" totalsRowCount="0" totalsRowShown="0">
  <x:autoFilter ref="A1:J27"/>
  <x:tableColumns count="10">
    <x:tableColumn id="1" name="내부 라우트"/>
    <x:tableColumn id="2" name="핸들러"/>
    <x:tableColumn id="3" name="시크릿"/>
    <x:tableColumn id="4" name="업스트림"/>
    <x:tableColumn id="5" name="현재 상태"/>
    <x:tableColumn id="6" name="프런트 함수/서비스"/>
    <x:tableColumn id="7" name="화면/사용처"/>
    <x:tableColumn id="8" name="캐시/TTL"/>
    <x:tableColumn id="9" name="근거 파일"/>
    <x:tableColumn id="10" name="메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crets" displayName="Secrets" ref="A1:H31" headerRowCount="1" totalsRowCount="0" totalsRowShown="0">
  <x:autoFilter ref="A1:H31"/>
  <x:tableColumns count="8">
    <x:tableColumn id="1" name="환경변수/시크릿"/>
    <x:tableColumn id="2" name="범위"/>
    <x:tableColumn id="3" name="Env interface"/>
    <x:tableColumn id="4" name="wrangler 예시"/>
    <x:tableColumn id="5" name=".env.example"/>
    <x:tableColumn id="6" name="코드 사용"/>
    <x:tableColumn id="7" name="현재 상태"/>
    <x:tableColumn id="8" name="비고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atic_Data" displayName="Static_Data" ref="A1:F7" headerRowCount="1" totalsRowCount="0" totalsRowShown="0">
  <x:autoFilter ref="A1:F7"/>
  <x:tableColumns count="6">
    <x:tableColumn id="1" name="데이터셋"/>
    <x:tableColumn id="2" name="현재 경로"/>
    <x:tableColumn id="3" name="원천/갱신 수단"/>
    <x:tableColumn id="4" name="사용처"/>
    <x:tableColumn id="5" name="상태"/>
    <x:tableColumn id="6" name="관리 메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ndidates" displayName="Candidates" ref="A1:E9" headerRowCount="1" totalsRowCount="0" totalsRowShown="0">
  <x:autoFilter ref="A1:E9"/>
  <x:tableColumns count="5">
    <x:tableColumn id="1" name="후보/미사용 항목"/>
    <x:tableColumn id="2" name="발견 위치"/>
    <x:tableColumn id="3" name="현재 상태"/>
    <x:tableColumn id="4" name="판단 포인트"/>
    <x:tableColumn id="5" name="권장 액션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Usage_Evidence" displayName="Usage_Evidence" ref="A1:D11" headerRowCount="1" totalsRowCount="0" totalsRowShown="0">
  <x:autoFilter ref="A1:D11"/>
  <x:tableColumns count="4">
    <x:tableColumn id="1" name="항목"/>
    <x:tableColumn id="2" name="근거 종류"/>
    <x:tableColumn id="3" name="파일/라인"/>
    <x:tableColumn id="4" name="확인 내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b6e4cc6f944c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80e38831b2343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731445c4f8b48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dccdaa212d43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8db995a380e40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a479feaeb6940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4" hidden="0" customWidth="1"/>
    <x:col min="4" max="4" width="24" hidden="0" customWidth="1"/>
    <x:col min="5" max="5" width="34" hidden="0" customWidth="1"/>
    <x:col min="6" max="6" width="26" hidden="0" customWidth="1"/>
    <x:col min="7" max="7" width="18" hidden="0" customWidth="1"/>
    <x:col min="8" max="8" width="18" hidden="0" customWidth="1"/>
  </x:cols>
  <x:sheetData>
    <x:row r="1">
      <x:c r="A1" s="21" t="str">
        <x:v>119 Helper API 사용 현황</x:v>
      </x:c>
      <x:c r="B1" s="21"/>
      <x:c r="C1" s="21"/>
      <x:c r="D1" s="21"/>
      <x:c r="E1" s="21"/>
      <x:c r="F1" s="21"/>
      <x:c r="G1" s="21"/>
      <x:c r="H1" s="21"/>
    </x:row>
    <x:row r="2">
      <x:c r="A2" s="22" t="str">
        <x:v>생성일: 2026-07-03 / 기준: C:\Users\arasoftGJ_01\MyProjects\119-helper 코드 스캔</x:v>
      </x:c>
      <x:c r="B2" s="22"/>
      <x:c r="C2" s="22"/>
      <x:c r="D2" s="22"/>
      <x:c r="E2" s="22"/>
      <x:c r="F2" s="22"/>
      <x:c r="G2" s="22"/>
      <x:c r="H2" s="22"/>
    </x:row>
    <x:row r="3">
      <x:c r="A3" s="23"/>
      <x:c r="B3" s="23"/>
      <x:c r="C3" s="23"/>
      <x:c r="D3" s="23"/>
      <x:c r="E3" s="23"/>
      <x:c r="F3" s="23"/>
      <x:c r="G3" s="23"/>
      <x:c r="H3" s="23"/>
    </x:row>
    <x:row r="4">
      <x:c r="A4" s="24" t="str">
        <x:v>지표</x:v>
      </x:c>
      <x:c r="B4" s="24" t="str">
        <x:v>값</x:v>
      </x:c>
      <x:c r="C4" s="23"/>
      <x:c r="D4" s="15" t="str">
        <x:v>우선 확인 항목</x:v>
      </x:c>
      <x:c r="E4" s="15" t="str">
        <x:v>이유</x:v>
      </x:c>
      <x:c r="F4" s="15" t="str">
        <x:v>제안</x:v>
      </x:c>
      <x:c r="G4" s="23"/>
      <x:c r="H4" s="23"/>
    </x:row>
    <x:row r="5">
      <x:c r="A5" s="25" t="str">
        <x:v>총 API/서비스 항목</x:v>
      </x:c>
      <x:c r="B5" s="26" t="n">
        <x:f>COUNTA('API Inventory'!A2:A100)</x:f>
        <x:v>29</x:v>
      </x:c>
      <x:c r="C5" s="23"/>
      <x:c r="D5" s="17" t="str">
        <x:v>FIRE_INFO_API_KEY</x:v>
      </x:c>
      <x:c r="E5" s="16" t="str">
        <x:v>워커와 fetch 함수는 있으나 화면 참조가 없음</x:v>
      </x:c>
      <x:c r="F5" s="16" t="str">
        <x:v>기능화하거나 secret/라우트 정리</x:v>
      </x:c>
      <x:c r="G5" s="23"/>
      <x:c r="H5" s="23"/>
    </x:row>
    <x:row r="6">
      <x:c r="A6" s="25" t="str">
        <x:v>사용 중</x:v>
      </x:c>
      <x:c r="B6" s="26" t="n">
        <x:f>COUNTIF('API Inventory'!F2:F100,"사용 중")</x:f>
        <x:v>21</x:v>
      </x:c>
      <x:c r="C6" s="23"/>
      <x:c r="D6" s="17" t="str">
        <x:v>FIRE_WATER_API_KEY</x:v>
      </x:c>
      <x:c r="E6" s="16" t="str">
        <x:v>현재 UI는 정적 JSON 사용</x:v>
      </x:c>
      <x:c r="F6" s="16" t="str">
        <x:v>동적 API 필요 여부 결정</x:v>
      </x:c>
      <x:c r="G6" s="23"/>
      <x:c r="H6" s="23"/>
    </x:row>
    <x:row r="7">
      <x:c r="A7" s="25" t="str">
        <x:v>현재 UI 미사용 계열</x:v>
      </x:c>
      <x:c r="B7" s="26" t="n">
        <x:f>COUNTIF('API Inventory'!F2:F100,"현재 UI 미사용")+COUNTIF('API Inventory'!F2:F100,"현재 UI 미사용/정적 대체")+COUNTIF('API Inventory'!F2:F100,"현재 UI 미사용/중복")</x:f>
        <x:v>5</x:v>
      </x:c>
      <x:c r="C7" s="23"/>
      <x:c r="D7" s="17" t="str">
        <x:v>HOLIDAY_API_KEY</x:v>
      </x:c>
      <x:c r="E7" s="16" t="str">
        <x:v>Calendar는 정적 공휴일 사용</x:v>
      </x:c>
      <x:c r="F7" s="16" t="str">
        <x:v>README 정정 또는 API+fallback 전환</x:v>
      </x:c>
      <x:c r="G7" s="23"/>
      <x:c r="H7" s="23"/>
    </x:row>
    <x:row r="8">
      <x:c r="A8" s="25" t="str">
        <x:v>정적 데이터 사용</x:v>
      </x:c>
      <x:c r="B8" s="26" t="n">
        <x:f>COUNTIF('API Inventory'!F2:F100,"사용 중(정적)")</x:f>
        <x:v>2</x:v>
      </x:c>
      <x:c r="C8" s="23"/>
      <x:c r="D8" s="17" t="str">
        <x:v>CIVIL/TSUNAMI 대피소</x:v>
      </x:c>
      <x:c r="E8" s="16" t="str">
        <x:v>정적/중복 라우트가 섞여 있음</x:v>
      </x:c>
      <x:c r="F8" s="16" t="str">
        <x:v>단일 데이터 전략으로 정리</x:v>
      </x:c>
      <x:c r="G8" s="23"/>
      <x:c r="H8" s="23"/>
    </x:row>
    <x:row r="9">
      <x:c r="A9" s="25" t="str">
        <x:v>보조/폴백</x:v>
      </x:c>
      <x:c r="B9" s="26" t="n">
        <x:f>COUNTIF('API Inventory'!F2:F100,"보조/폴백")</x:f>
        <x:v>1</x:v>
      </x:c>
      <x:c r="C9" s="23"/>
      <x:c r="D9" s="17" t="str">
        <x:v>KAKAO_MAP_KEY</x:v>
      </x:c>
      <x:c r="E9" s="16" t="str">
        <x:v>wrangler 예시에만 있고 Worker 사용 없음</x:v>
      </x:c>
      <x:c r="F9" s="16" t="str">
        <x:v>예시 제거 또는 사용처 추가</x:v>
      </x:c>
      <x:c r="G9" s="23"/>
      <x:c r="H9" s="23"/>
    </x:row>
    <x:row r="10">
      <x:c r="A10" s="25" t="str">
        <x:v>설정 정리 필요/후보</x:v>
      </x:c>
      <x:c r="B10" s="26" t="n">
        <x:f>COUNTIF(Secrets!G2:G100,"설정 정리 필요")+COUNTIF(Candidates!C2:C100,"후보")</x:f>
        <x:v>2</x:v>
      </x:c>
      <x:c r="C10" s="23"/>
      <x:c r="D10" s="17" t="str">
        <x:v>NAVER_CLIENT_ID/SECRET</x:v>
      </x:c>
      <x:c r="E10" s="16" t="str">
        <x:v>코드는 optional로 쓰지만 wrangler 예시 누락</x:v>
      </x:c>
      <x:c r="F10" s="16" t="str">
        <x:v>운영 시 예시에 추가</x:v>
      </x:c>
      <x:c r="G10" s="23"/>
      <x:c r="H10" s="23"/>
    </x:row>
    <x:row r="11">
      <x:c r="A11" s="23"/>
      <x:c r="B11" s="23"/>
      <x:c r="C11" s="23"/>
      <x:c r="D11" s="23"/>
      <x:c r="E11" s="23"/>
      <x:c r="F11" s="23"/>
      <x:c r="G11" s="23"/>
      <x:c r="H11" s="23"/>
    </x:row>
    <x:row r="12">
      <x:c r="A12" s="20" t="str">
        <x:v>해석 기준: '사용 중'은 현재 UI/서비스 경로에서 호출 흔적이 있는 항목입니다. '현재 UI 미사용'은 Worker/secret은 있으나 프런트 사용 경로가 확인되지 않은 항목입니다.</x:v>
      </x:c>
      <x:c r="B12" s="20"/>
      <x:c r="C12" s="20"/>
      <x:c r="D12" s="20"/>
      <x:c r="E12" s="20"/>
      <x:c r="F12" s="20"/>
      <x:c r="G12" s="20"/>
      <x:c r="H12" s="20"/>
    </x:row>
    <x:row r="13">
      <x:c r="A13" s="23"/>
      <x:c r="B13" s="23"/>
      <x:c r="C13" s="23"/>
      <x:c r="D13" s="23"/>
      <x:c r="E13" s="23"/>
      <x:c r="F13" s="23"/>
      <x:c r="G13" s="23"/>
      <x:c r="H13" s="23"/>
    </x:row>
    <x:row r="14">
      <x:c r="A14" s="23"/>
      <x:c r="B14" s="23"/>
      <x:c r="C14" s="23"/>
      <x:c r="D14" s="23"/>
      <x:c r="E14" s="23"/>
      <x:c r="F14" s="23"/>
      <x:c r="G14" s="23"/>
      <x:c r="H14" s="23"/>
    </x:row>
    <x:row r="15">
      <x:c r="A15" s="23"/>
      <x:c r="B15" s="23"/>
      <x:c r="C15" s="23"/>
      <x:c r="D15" s="23"/>
      <x:c r="E15" s="23"/>
      <x:c r="F15" s="23"/>
      <x:c r="G15" s="23"/>
      <x:c r="H15" s="23"/>
    </x:row>
    <x:row r="16">
      <x:c r="A16" s="23"/>
      <x:c r="B16" s="23"/>
      <x:c r="C16" s="23"/>
      <x:c r="D16" s="23"/>
      <x:c r="E16" s="23"/>
      <x:c r="F16" s="23"/>
      <x:c r="G16" s="23"/>
      <x:c r="H16" s="23"/>
    </x:row>
    <x:row r="17">
      <x:c r="A17" s="23"/>
      <x:c r="B17" s="23"/>
      <x:c r="C17" s="23"/>
      <x:c r="D17" s="23"/>
      <x:c r="E17" s="23"/>
      <x:c r="F17" s="23"/>
      <x:c r="G17" s="23"/>
      <x:c r="H17" s="23"/>
    </x:row>
    <x:row r="18">
      <x:c r="A18" s="23"/>
      <x:c r="B18" s="23"/>
      <x:c r="C18" s="23"/>
      <x:c r="D18" s="23"/>
      <x:c r="E18" s="23"/>
      <x:c r="F18" s="23"/>
      <x:c r="G18" s="23"/>
      <x:c r="H18" s="23"/>
    </x:row>
    <x:row r="19">
      <x:c r="A19" s="23"/>
      <x:c r="B19" s="23"/>
      <x:c r="C19" s="23"/>
      <x:c r="D19" s="23"/>
      <x:c r="E19" s="23"/>
      <x:c r="F19" s="23"/>
      <x:c r="G19" s="23"/>
      <x:c r="H19" s="23"/>
    </x:row>
    <x:row r="20">
      <x:c r="A20" s="23"/>
      <x:c r="B20" s="23"/>
      <x:c r="C20" s="23"/>
      <x:c r="D20" s="23"/>
      <x:c r="E20" s="23"/>
      <x:c r="F20" s="23"/>
      <x:c r="G20" s="23"/>
      <x:c r="H20" s="23"/>
    </x:row>
  </x:sheetData>
  <x:mergeCells>
    <x:mergeCell ref="A1:H1"/>
    <x:mergeCell ref="A2:H2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18" hidden="0" customWidth="1"/>
    <x:col min="4" max="4" width="24" hidden="0" customWidth="1"/>
    <x:col min="5" max="5" width="24" hidden="0" customWidth="1"/>
    <x:col min="6" max="6" width="22" hidden="0" customWidth="1"/>
    <x:col min="7" max="7" width="34" hidden="0" customWidth="1"/>
    <x:col min="8" max="8" width="38" hidden="0" customWidth="1"/>
    <x:col min="9" max="9" width="48" hidden="0" customWidth="1"/>
    <x:col min="10" max="10" width="36" hidden="0" customWidth="1"/>
    <x:col min="11" max="11" width="40" hidden="0" customWidth="1"/>
    <x:col min="12" max="12" width="48" hidden="0" customWidth="1"/>
  </x:cols>
  <x:sheetData>
    <x:row r="1" ht="34" customHeight="1">
      <x:c r="A1" s="34" t="str">
        <x:v>ID</x:v>
      </x:c>
      <x:c r="B1" s="35" t="str">
        <x:v>API/서비스</x:v>
      </x:c>
      <x:c r="C1" s="35" t="str">
        <x:v>분류</x:v>
      </x:c>
      <x:c r="D1" s="35" t="str">
        <x:v>제공기관/플랫폼</x:v>
      </x:c>
      <x:c r="E1" s="35" t="str">
        <x:v>키/시크릿</x:v>
      </x:c>
      <x:c r="F1" s="35" t="str">
        <x:v>사용상태</x:v>
      </x:c>
      <x:c r="G1" s="35" t="str">
        <x:v>현재 사용 경로</x:v>
      </x:c>
      <x:c r="H1" s="35" t="str">
        <x:v>내부 엔드포인트/정적 경로</x:v>
      </x:c>
      <x:c r="I1" s="35" t="str">
        <x:v>업스트림/소스</x:v>
      </x:c>
      <x:c r="J1" s="35" t="str">
        <x:v>담당 기능/화면</x:v>
      </x:c>
      <x:c r="K1" s="35" t="str">
        <x:v>근거 파일</x:v>
      </x:c>
      <x:c r="L1" s="36" t="str">
        <x:v>비고/조치</x:v>
      </x:c>
    </x:row>
    <x:row r="2" ht="58" customHeight="1">
      <x:c r="A2" s="49" t="str">
        <x:v>KMA_API_HUB</x:v>
      </x:c>
      <x:c r="B2" s="50" t="str">
        <x:v>기상청 API Hub</x:v>
      </x:c>
      <x:c r="C2" s="50" t="str">
        <x:v>공공/기상</x:v>
      </x:c>
      <x:c r="D2" s="50" t="str">
        <x:v>기상청</x:v>
      </x:c>
      <x:c r="E2" s="50" t="str">
        <x:v>KMA_API_KEY</x:v>
      </x:c>
      <x:c r="F2" s="56" t="str">
        <x:v>사용 중</x:v>
      </x:c>
      <x:c r="G2" s="50" t="str">
        <x:v>Worker -&gt; apiClient -&gt; weatherApi -&gt; 컴포넌트</x:v>
      </x:c>
      <x:c r="H2" s="50" t="str">
        <x:v>/api/weather/now, /ultra, /forecast, /mid-land, /mid-temp, /briefing</x:v>
      </x:c>
      <x:c r="I2" s="50" t="str">
        <x:v>https://apihub.kma.go.kr</x:v>
      </x:c>
      <x:c r="J2" s="50" t="str">
        <x:v>DashboardView, WeatherDashboard, SafetyMonitor, WildfireView</x:v>
      </x:c>
      <x:c r="K2" s="50" t="str">
        <x:v>worker/src/routes/weather.ts; src/services/weatherApi.ts</x:v>
      </x:c>
      <x:c r="L2" s="51" t="str">
        <x:v>KMA 실패 시 Open-Meteo fallback을 사용합니다.</x:v>
      </x:c>
    </x:row>
    <x:row r="3" ht="58" customHeight="1">
      <x:c r="A3" s="49" t="str">
        <x:v>OPEN_METEO</x:v>
      </x:c>
      <x:c r="B3" s="50" t="str">
        <x:v>Open-Meteo Forecast</x:v>
      </x:c>
      <x:c r="C3" s="50" t="str">
        <x:v>외부/무료 fallback</x:v>
      </x:c>
      <x:c r="D3" s="50" t="str">
        <x:v>Open-Meteo</x:v>
      </x:c>
      <x:c r="E3" s="50" t="str">
        <x:v>없음</x:v>
      </x:c>
      <x:c r="F3" s="58" t="str">
        <x:v>보조/폴백</x:v>
      </x:c>
      <x:c r="G3" s="50" t="str">
        <x:v>KMA 호출 실패 시 Worker 내부 fallback</x:v>
      </x:c>
      <x:c r="H3" s="50" t="str">
        <x:v>worker fallback only</x:v>
      </x:c>
      <x:c r="I3" s="50" t="str">
        <x:v>https://api.open-meteo.com/v1/forecast</x:v>
      </x:c>
      <x:c r="J3" s="50" t="str">
        <x:v>기상 fallback</x:v>
      </x:c>
      <x:c r="K3" s="50" t="str">
        <x:v>worker/src/routes/weather.ts</x:v>
      </x:c>
      <x:c r="L3" s="51" t="str">
        <x:v>공공데이터 키 오류나 장애 시 최소 기상 데이터 제공용입니다.</x:v>
      </x:c>
    </x:row>
    <x:row r="4" ht="58" customHeight="1">
      <x:c r="A4" s="49" t="str">
        <x:v>AIRKOREA</x:v>
      </x:c>
      <x:c r="B4" s="50" t="str">
        <x:v>에어코리아 실시간 대기질</x:v>
      </x:c>
      <x:c r="C4" s="50" t="str">
        <x:v>공공/환경</x:v>
      </x:c>
      <x:c r="D4" s="50" t="str">
        <x:v>한국환경공단/에어코리아</x:v>
      </x:c>
      <x:c r="E4" s="50" t="str">
        <x:v>AIR_API_KEY</x:v>
      </x:c>
      <x:c r="F4" s="56" t="str">
        <x:v>사용 중</x:v>
      </x:c>
      <x:c r="G4" s="50" t="str">
        <x:v>Worker -&gt; apiClient -&gt; airQualityApi</x:v>
      </x:c>
      <x:c r="H4" s="50" t="str">
        <x:v>/api/air</x:v>
      </x:c>
      <x:c r="I4" s="50" t="str">
        <x:v>https://apis.data.go.kr/B552584/ArpltnInforInqireSvc/getCtprvnRltmMesureDnsty</x:v>
      </x:c>
      <x:c r="J4" s="50" t="str">
        <x:v>DashboardView, WeatherDashboard</x:v>
      </x:c>
      <x:c r="K4" s="50" t="str">
        <x:v>worker/src/routes/air.ts; src/services/airQualityApi.ts</x:v>
      </x:c>
      <x:c r="L4" s="51" t="str">
        <x:v>시도 단위 미세먼지/대기질 조회입니다.</x:v>
      </x:c>
    </x:row>
    <x:row r="5" ht="58" customHeight="1">
      <x:c r="A5" s="49" t="str">
        <x:v>NMC_ER</x:v>
      </x:c>
      <x:c r="B5" s="50" t="str">
        <x:v>응급의료포털 응급실 정보</x:v>
      </x:c>
      <x:c r="C5" s="50" t="str">
        <x:v>공공/의료</x:v>
      </x:c>
      <x:c r="D5" s="50" t="str">
        <x:v>국립중앙의료원</x:v>
      </x:c>
      <x:c r="E5" s="50" t="str">
        <x:v>ER_API_KEY</x:v>
      </x:c>
      <x:c r="F5" s="56" t="str">
        <x:v>사용 중</x:v>
      </x:c>
      <x:c r="G5" s="50" t="str">
        <x:v>Worker -&gt; apiClient -&gt; erApi</x:v>
      </x:c>
      <x:c r="H5" s="50" t="str">
        <x:v>/api/er/beds, /list, /location, /messages, /severe-illness</x:v>
      </x:c>
      <x:c r="I5" s="50" t="str">
        <x:v>https://apis.data.go.kr/B552657/ErmctInfoInqireService</x:v>
      </x:c>
      <x:c r="J5" s="50" t="str">
        <x:v>DashboardView, ERDashboard, TriageView</x:v>
      </x:c>
      <x:c r="K5" s="50" t="str">
        <x:v>worker/src/routes/er.ts; src/services/erApi.ts</x:v>
      </x:c>
      <x:c r="L5" s="51" t="str">
        <x:v>/api/er/list와 /location은 라우트가 있지만 현재 주요 화면 참조는 beds/messages/severe 중심입니다.</x:v>
      </x:c>
    </x:row>
    <x:row r="6" ht="58" customHeight="1">
      <x:c r="A6" s="49" t="str">
        <x:v>BUILDING_REGISTER</x:v>
      </x:c>
      <x:c r="B6" s="50" t="str">
        <x:v>건축HUB 건축물대장정보</x:v>
      </x:c>
      <x:c r="C6" s="50" t="str">
        <x:v>공공/건축</x:v>
      </x:c>
      <x:c r="D6" s="50" t="str">
        <x:v>국토교통부</x:v>
      </x:c>
      <x:c r="E6" s="50" t="str">
        <x:v>BUILDING_API_KEY</x:v>
      </x:c>
      <x:c r="F6" s="56" t="str">
        <x:v>사용 중</x:v>
      </x:c>
      <x:c r="G6" s="50" t="str">
        <x:v>Worker -&gt; apiClient -&gt; buildingApi</x:v>
      </x:c>
      <x:c r="H6" s="50" t="str">
        <x:v>/api/building</x:v>
      </x:c>
      <x:c r="I6" s="50" t="str">
        <x:v>https://apis.data.go.kr/1613000/BldRgstHubService/getBrTitleInfo</x:v>
      </x:c>
      <x:c r="J6" s="50" t="str">
        <x:v>BuildingView</x:v>
      </x:c>
      <x:c r="K6" s="50" t="str">
        <x:v>worker/src/routes/building.ts; src/services/buildingApi.ts</x:v>
      </x:c>
      <x:c r="L6" s="51" t="str">
        <x:v>주소 기반 현장 건축물 정보 조회에 사용됩니다.</x:v>
      </x:c>
    </x:row>
    <x:row r="7" ht="58" customHeight="1">
      <x:c r="A7" s="49" t="str">
        <x:v>FIREWATER_STATIC</x:v>
      </x:c>
      <x:c r="B7" s="50" t="str">
        <x:v>소방용수시설 정적 JSON</x:v>
      </x:c>
      <x:c r="C7" s="50" t="str">
        <x:v>정적 공공데이터</x:v>
      </x:c>
      <x:c r="D7" s="50" t="str">
        <x:v>소방청/공공데이터포털 원천</x:v>
      </x:c>
      <x:c r="E7" s="50" t="str">
        <x:v>없음</x:v>
      </x:c>
      <x:c r="F7" s="60" t="str">
        <x:v>사용 중(정적)</x:v>
      </x:c>
      <x:c r="G7" s="50" t="str">
        <x:v>프런트에서 정적 JSON 직접 조회</x:v>
      </x:c>
      <x:c r="H7" s="50" t="str">
        <x:v>/firewater/*.json</x:v>
      </x:c>
      <x:c r="I7" s="50" t="str">
        <x:v>public/firewater</x:v>
      </x:c>
      <x:c r="J7" s="50" t="str">
        <x:v>App, KakaoMap, FacilitySearch</x:v>
      </x:c>
      <x:c r="K7" s="50" t="str">
        <x:v>src/services/fireWaterApi.ts; public/firewater</x:v>
      </x:c>
      <x:c r="L7" s="51" t="str">
        <x:v>현재 UI는 Worker의 /api/firewater가 아니라 분할 JSON을 사용합니다.</x:v>
      </x:c>
    </x:row>
    <x:row r="8" ht="58" customHeight="1">
      <x:c r="A8" s="49" t="str">
        <x:v>FIREWATER_API</x:v>
      </x:c>
      <x:c r="B8" s="50" t="str">
        <x:v>전국소방용수시설표준데이터 OpenAPI</x:v>
      </x:c>
      <x:c r="C8" s="50" t="str">
        <x:v>공공/소방</x:v>
      </x:c>
      <x:c r="D8" s="50" t="str">
        <x:v>공공데이터포털</x:v>
      </x:c>
      <x:c r="E8" s="50" t="str">
        <x:v>FIRE_WATER_API_KEY</x:v>
      </x:c>
      <x:c r="F8" s="62" t="str">
        <x:v>현재 UI 미사용/정적 대체</x:v>
      </x:c>
      <x:c r="G8" s="50" t="str">
        <x:v>Worker 라우트는 등록되어 있으나 UI는 정적 JSON 사용</x:v>
      </x:c>
      <x:c r="H8" s="50" t="str">
        <x:v>/api/firewater</x:v>
      </x:c>
      <x:c r="I8" s="50" t="str">
        <x:v>http(s)://api.data.go.kr/openapi/tn_pubr_public_ffus_wtrcns_api</x:v>
      </x:c>
      <x:c r="J8" s="50" t="str">
        <x:v>현재 직접 사용 화면 없음</x:v>
      </x:c>
      <x:c r="K8" s="50" t="str">
        <x:v>worker/src/routes/firewater.ts; src/services/apiClient.ts</x:v>
      </x:c>
      <x:c r="L8" s="51" t="str">
        <x:v>동적 조회가 필요 없으면 secret/라우트 유지 여부를 재검토하세요.</x:v>
      </x:c>
    </x:row>
    <x:row r="9" ht="58" customHeight="1">
      <x:c r="A9" s="49" t="str">
        <x:v>HOLIDAY_API</x:v>
      </x:c>
      <x:c r="B9" s="50" t="str">
        <x:v>특일정보 공휴일 API</x:v>
      </x:c>
      <x:c r="C9" s="50" t="str">
        <x:v>공공/달력</x:v>
      </x:c>
      <x:c r="D9" s="50" t="str">
        <x:v>공공데이터포털</x:v>
      </x:c>
      <x:c r="E9" s="50" t="str">
        <x:v>HOLIDAY_API_KEY</x:v>
      </x:c>
      <x:c r="F9" s="62" t="str">
        <x:v>현재 UI 미사용/정적 대체</x:v>
      </x:c>
      <x:c r="G9" s="50" t="str">
        <x:v>Worker 라우트와 holidayApi 래퍼는 있으나 Calendar는 정적 데이터 사용</x:v>
      </x:c>
      <x:c r="H9" s="50" t="str">
        <x:v>/api/holiday</x:v>
      </x:c>
      <x:c r="I9" s="50" t="str">
        <x:v>https://apis.data.go.kr/B090041/openapi/service/SpcdeInfoService/getRestDeInfo</x:v>
      </x:c>
      <x:c r="J9" s="50" t="str">
        <x:v>현재 Calendar는 src/data/holidays 사용</x:v>
      </x:c>
      <x:c r="K9" s="50" t="str">
        <x:v>worker/src/routes/holiday.ts; src/services/holidayApi.ts; src/components/Calendar.tsx</x:v>
      </x:c>
      <x:c r="L9" s="51" t="str">
        <x:v>README의 API 연동 설명과 현재 코드 경로가 다릅니다.</x:v>
      </x:c>
    </x:row>
    <x:row r="10" ht="58" customHeight="1">
      <x:c r="A10" s="49" t="str">
        <x:v>KAKAO_MAPS</x:v>
      </x:c>
      <x:c r="B10" s="50" t="str">
        <x:v>Kakao Maps JavaScript SDK/Geocoder</x:v>
      </x:c>
      <x:c r="C10" s="50" t="str">
        <x:v>민간 SDK/지도</x:v>
      </x:c>
      <x:c r="D10" s="50" t="str">
        <x:v>Kakao</x:v>
      </x:c>
      <x:c r="E10" s="50" t="str">
        <x:v>VITE_KAKAO_MAP_KEY</x:v>
      </x:c>
      <x:c r="F10" s="56" t="str">
        <x:v>사용 중</x:v>
      </x:c>
      <x:c r="G10" s="50" t="str">
        <x:v>브라우저에서 SDK 직접 로드</x:v>
      </x:c>
      <x:c r="H10" s="50" t="str">
        <x:v>dapi.kakao.com/v2/maps/sdk.js</x:v>
      </x:c>
      <x:c r="I10" s="50" t="str">
        <x:v>https://dapi.kakao.com/v2/maps/sdk.js</x:v>
      </x:c>
      <x:c r="J10" s="50" t="str">
        <x:v>KakaoMap, FacilitySearchView, ShelterView, HazmatCalc, 위치 역지오코딩</x:v>
      </x:c>
      <x:c r="K10" s="50" t="str">
        <x:v>src/utils/kakaoLoader.ts; src/utils/locationResolver.ts</x:v>
      </x:c>
      <x:c r="L10" s="51" t="str">
        <x:v>공공 API는 아니지만 지도/지오코딩의 핵심 의존성입니다.</x:v>
      </x:c>
    </x:row>
    <x:row r="11" ht="58" customHeight="1">
      <x:c r="A11" s="49" t="str">
        <x:v>MULTI_USE</x:v>
      </x:c>
      <x:c r="B11" s="50" t="str">
        <x:v>소방청 다중이용업소 현황</x:v>
      </x:c>
      <x:c r="C11" s="50" t="str">
        <x:v>공공/소방</x:v>
      </x:c>
      <x:c r="D11" s="50" t="str">
        <x:v>소방청/odcloud</x:v>
      </x:c>
      <x:c r="E11" s="50" t="str">
        <x:v>MULTI_USE_API_KEY</x:v>
      </x:c>
      <x:c r="F11" s="56" t="str">
        <x:v>사용 중</x:v>
      </x:c>
      <x:c r="G11" s="50" t="str">
        <x:v>Worker -&gt; apiClient</x:v>
      </x:c>
      <x:c r="H11" s="50" t="str">
        <x:v>/api/multiuse</x:v>
      </x:c>
      <x:c r="I11" s="50" t="str">
        <x:v>https://api.odcloud.kr/api/15066545/v1/{uddi}</x:v>
      </x:c>
      <x:c r="J11" s="50" t="str">
        <x:v>MultiUseView</x:v>
      </x:c>
      <x:c r="K11" s="50" t="str">
        <x:v>worker/src/routes/multiuse.ts; src/components/MultiUseView.tsx</x:v>
      </x:c>
      <x:c r="L11" s="51" t="str">
        <x:v>연도별 UDDI 엔드포인트를 사용합니다.</x:v>
      </x:c>
    </x:row>
    <x:row r="12" ht="58" customHeight="1">
      <x:c r="A12" s="49" t="str">
        <x:v>TSUNAMI_SHELTER_MAIN</x:v>
      </x:c>
      <x:c r="B12" s="50" t="str">
        <x:v>지진해일 긴급 대피장소</x:v>
      </x:c>
      <x:c r="C12" s="50" t="str">
        <x:v>공공/안전</x:v>
      </x:c>
      <x:c r="D12" s="50" t="str">
        <x:v>재난안전데이터포털</x:v>
      </x:c>
      <x:c r="E12" s="50" t="str">
        <x:v>SHELTER_API_KEY</x:v>
      </x:c>
      <x:c r="F12" s="56" t="str">
        <x:v>사용 중</x:v>
      </x:c>
      <x:c r="G12" s="50" t="str">
        <x:v>Worker -&gt; apiClient -&gt; shelterApi</x:v>
      </x:c>
      <x:c r="H12" s="50" t="str">
        <x:v>/api/shelter</x:v>
      </x:c>
      <x:c r="I12" s="50" t="str">
        <x:v>https://www.safetydata.go.kr/V2/api/DSSP-IF-10944</x:v>
      </x:c>
      <x:c r="J12" s="50" t="str">
        <x:v>ShelterView</x:v>
      </x:c>
      <x:c r="K12" s="50" t="str">
        <x:v>worker/src/routes/shelter.ts; src/services/shelterApi.ts</x:v>
      </x:c>
      <x:c r="L12" s="51" t="str">
        <x:v>/api/tsunami-shelter와 같은 DSSP-IF-10944를 바라보는 중복 계열입니다.</x:v>
      </x:c>
    </x:row>
    <x:row r="13" ht="58" customHeight="1">
      <x:c r="A13" s="49" t="str">
        <x:v>TSUNAMI_SHELTER_DUP</x:v>
      </x:c>
      <x:c r="B13" s="50" t="str">
        <x:v>지진해일 긴급 대피장소 별도 라우트</x:v>
      </x:c>
      <x:c r="C13" s="50" t="str">
        <x:v>공공/안전</x:v>
      </x:c>
      <x:c r="D13" s="50" t="str">
        <x:v>재난안전데이터포털</x:v>
      </x:c>
      <x:c r="E13" s="50" t="str">
        <x:v>TSUNAMI_SHELTER_API_KEY</x:v>
      </x:c>
      <x:c r="F13" s="64" t="str">
        <x:v>현재 UI 미사용/중복</x:v>
      </x:c>
      <x:c r="G13" s="50" t="str">
        <x:v>Worker 라우트만 등록. FacilitySearch는 정적 tsunami.json 사용</x:v>
      </x:c>
      <x:c r="H13" s="50" t="str">
        <x:v>/api/tsunami-shelter</x:v>
      </x:c>
      <x:c r="I13" s="50" t="str">
        <x:v>https://www.safetydata.go.kr/V2/api/DSSP-IF-10944</x:v>
      </x:c>
      <x:c r="J13" s="50" t="str">
        <x:v>현재 직접 사용 화면 없음</x:v>
      </x:c>
      <x:c r="K13" s="50" t="str">
        <x:v>worker/src/routes/tsunamiShelter.ts; src/services/apiClient.ts</x:v>
      </x:c>
      <x:c r="L13" s="51" t="str">
        <x:v>/api/shelter와 통합하거나 용도를 분리하는 판단이 필요합니다.</x:v>
      </x:c>
    </x:row>
    <x:row r="14" ht="58" customHeight="1">
      <x:c r="A14" s="49" t="str">
        <x:v>CIVIL_SHELTER_API</x:v>
      </x:c>
      <x:c r="B14" s="50" t="str">
        <x:v>민방위대피소 API</x:v>
      </x:c>
      <x:c r="C14" s="50" t="str">
        <x:v>공공/안전</x:v>
      </x:c>
      <x:c r="D14" s="50" t="str">
        <x:v>재난안전데이터포털</x:v>
      </x:c>
      <x:c r="E14" s="50" t="str">
        <x:v>CIVIL_SHELTER_API_KEY</x:v>
      </x:c>
      <x:c r="F14" s="62" t="str">
        <x:v>현재 UI 미사용/정적 대체</x:v>
      </x:c>
      <x:c r="G14" s="50" t="str">
        <x:v>Worker 라우트는 있으나 프런트는 /data/civil.json 직접 조회</x:v>
      </x:c>
      <x:c r="H14" s="50" t="str">
        <x:v>/api/civil-shelter</x:v>
      </x:c>
      <x:c r="I14" s="50" t="str">
        <x:v>https://www.safetydata.go.kr/V2/api/DSSP-IF-10166</x:v>
      </x:c>
      <x:c r="J14" s="50" t="str">
        <x:v>FacilitySearchView는 정적 데이터 사용</x:v>
      </x:c>
      <x:c r="K14" s="50" t="str">
        <x:v>worker/src/routes/civilShelter.ts; src/services/apiClient.ts</x:v>
      </x:c>
      <x:c r="L14" s="51" t="str">
        <x:v>정적 데이터 갱신 정책이 있다면 Worker secret은 불필요할 수 있습니다.</x:v>
      </x:c>
    </x:row>
    <x:row r="15" ht="58" customHeight="1">
      <x:c r="A15" s="49" t="str">
        <x:v>EMERGENCY_STATS</x:v>
      </x:c>
      <x:c r="B15" s="50" t="str">
        <x:v>소방청 구급통계서비스</x:v>
      </x:c>
      <x:c r="C15" s="50" t="str">
        <x:v>공공/구급</x:v>
      </x:c>
      <x:c r="D15" s="50" t="str">
        <x:v>소방청</x:v>
      </x:c>
      <x:c r="E15" s="50" t="str">
        <x:v>EMERGENCY_API_KEY</x:v>
      </x:c>
      <x:c r="F15" s="56" t="str">
        <x:v>사용 중</x:v>
      </x:c>
      <x:c r="G15" s="50" t="str">
        <x:v>Worker -&gt; apiClient -&gt; useEmergencyAnalysisData</x:v>
      </x:c>
      <x:c r="H15" s="50" t="str">
        <x:v>/api/emergency/stats/{op}</x:v>
      </x:c>
      <x:c r="I15" s="50" t="str">
        <x:v>https://apis.data.go.kr/1661000/EmergencyStatisticsService</x:v>
      </x:c>
      <x:c r="J15" s="50" t="str">
        <x:v>EmergencyAnalysis</x:v>
      </x:c>
      <x:c r="K15" s="50" t="str">
        <x:v>worker/src/routes/emergencyStats.ts; src/hooks/useEmergencyAnalysisData.ts</x:v>
      </x:c>
      <x:c r="L15" s="51" t="str">
        <x:v>EMERGENCY_API_KEY는 통계와 정보 서비스가 공유합니다.</x:v>
      </x:c>
    </x:row>
    <x:row r="16" ht="58" customHeight="1">
      <x:c r="A16" s="49" t="str">
        <x:v>EMERGENCY_INFO</x:v>
      </x:c>
      <x:c r="B16" s="50" t="str">
        <x:v>소방청 구급정보서비스</x:v>
      </x:c>
      <x:c r="C16" s="50" t="str">
        <x:v>공공/구급</x:v>
      </x:c>
      <x:c r="D16" s="50" t="str">
        <x:v>소방청</x:v>
      </x:c>
      <x:c r="E16" s="50" t="str">
        <x:v>EMERGENCY_API_KEY</x:v>
      </x:c>
      <x:c r="F16" s="56" t="str">
        <x:v>사용 중</x:v>
      </x:c>
      <x:c r="G16" s="50" t="str">
        <x:v>Worker -&gt; apiClient -&gt; useEmergencyAnalysisData</x:v>
      </x:c>
      <x:c r="H16" s="50" t="str">
        <x:v>/api/emergency/info/{op}</x:v>
      </x:c>
      <x:c r="I16" s="50" t="str">
        <x:v>https://apis.data.go.kr/1661000/EmergencyInformationService</x:v>
      </x:c>
      <x:c r="J16" s="50" t="str">
        <x:v>EmergencyAnalysis</x:v>
      </x:c>
      <x:c r="K16" s="50" t="str">
        <x:v>worker/src/routes/emergencyInfo.ts; src/hooks/useEmergencyAnalysisData.ts</x:v>
      </x:c>
      <x:c r="L16" s="51" t="str">
        <x:v>EMERGENCY_API_KEY는 통계와 정보 서비스가 공유합니다.</x:v>
      </x:c>
    </x:row>
    <x:row r="17" ht="58" customHeight="1">
      <x:c r="A17" s="49" t="str">
        <x:v>FIRE_INFO</x:v>
      </x:c>
      <x:c r="B17" s="50" t="str">
        <x:v>소방청 화재정보서비스</x:v>
      </x:c>
      <x:c r="C17" s="50" t="str">
        <x:v>공공/소방</x:v>
      </x:c>
      <x:c r="D17" s="50" t="str">
        <x:v>소방청</x:v>
      </x:c>
      <x:c r="E17" s="50" t="str">
        <x:v>FIRE_INFO_API_KEY</x:v>
      </x:c>
      <x:c r="F17" s="66" t="str">
        <x:v>현재 UI 미사용</x:v>
      </x:c>
      <x:c r="G17" s="50" t="str">
        <x:v>Worker 라우트와 apiClient 함수는 있으나 외부 참조 없음</x:v>
      </x:c>
      <x:c r="H17" s="50" t="str">
        <x:v>/api/fire/{op}</x:v>
      </x:c>
      <x:c r="I17" s="50" t="str">
        <x:v>https://apis.data.go.kr/1661000/FireInformationService</x:v>
      </x:c>
      <x:c r="J17" s="50" t="str">
        <x:v>현재 직접 사용 화면 없음</x:v>
      </x:c>
      <x:c r="K17" s="50" t="str">
        <x:v>worker/src/routes/fireInfo.ts; src/services/apiClient.ts</x:v>
      </x:c>
      <x:c r="L17" s="51" t="str">
        <x:v>기능 후보로 남길지, secret/라우트를 정리할지 결정 대상입니다.</x:v>
      </x:c>
    </x:row>
    <x:row r="18" ht="58" customHeight="1">
      <x:c r="A18" s="49" t="str">
        <x:v>ANNUAL_FIRE</x:v>
      </x:c>
      <x:c r="B18" s="50" t="str">
        <x:v>소방청 연간화재통계</x:v>
      </x:c>
      <x:c r="C18" s="50" t="str">
        <x:v>공공/소방</x:v>
      </x:c>
      <x:c r="D18" s="50" t="str">
        <x:v>소방청/odcloud</x:v>
      </x:c>
      <x:c r="E18" s="50" t="str">
        <x:v>ANNUAL_FIRE_API_KEY</x:v>
      </x:c>
      <x:c r="F18" s="56" t="str">
        <x:v>사용 중</x:v>
      </x:c>
      <x:c r="G18" s="50" t="str">
        <x:v>Worker에서 대량 집계 후 프런트 전달</x:v>
      </x:c>
      <x:c r="H18" s="50" t="str">
        <x:v>/api/fire-annual/{year}</x:v>
      </x:c>
      <x:c r="I18" s="50" t="str">
        <x:v>https://api.odcloud.kr/api/15060386/v1/{uddi}</x:v>
      </x:c>
      <x:c r="J18" s="50" t="str">
        <x:v>AnnualFireView, FireAnalysis</x:v>
      </x:c>
      <x:c r="K18" s="50" t="str">
        <x:v>worker/src/routes/annualFireStats.ts; src/components/AnnualFireView.tsx</x:v>
      </x:c>
      <x:c r="L18" s="51" t="str">
        <x:v>연도별 UDDI를 사용해 요약 데이터를 만듭니다.</x:v>
      </x:c>
    </x:row>
    <x:row r="19" ht="58" customHeight="1">
      <x:c r="A19" s="49" t="str">
        <x:v>FIRE_OBJECT</x:v>
      </x:c>
      <x:c r="B19" s="50" t="str">
        <x:v>특정소방대상물/소방시설 정보</x:v>
      </x:c>
      <x:c r="C19" s="50" t="str">
        <x:v>공공/소방</x:v>
      </x:c>
      <x:c r="D19" s="50" t="str">
        <x:v>소방청</x:v>
      </x:c>
      <x:c r="E19" s="50" t="str">
        <x:v>FIRE_OBJECT_API_KEY</x:v>
      </x:c>
      <x:c r="F19" s="56" t="str">
        <x:v>사용 중</x:v>
      </x:c>
      <x:c r="G19" s="50" t="str">
        <x:v>Worker -&gt; apiClient</x:v>
      </x:c>
      <x:c r="H19" s="50" t="str">
        <x:v>/api/fire-object/accom, /api/fire-object/fire-sys</x:v>
      </x:c>
      <x:c r="I19" s="50" t="str">
        <x:v>https://apis.data.go.kr/1661000/SpecificFireObjectInfoService; SpecificFireObjectFirefightingSysInfoService</x:v>
      </x:c>
      <x:c r="J19" s="50" t="str">
        <x:v>BuildingView</x:v>
      </x:c>
      <x:c r="K19" s="50" t="str">
        <x:v>worker/src/routes/fireObject.ts; src/components/BuildingView.tsx</x:v>
      </x:c>
      <x:c r="L19" s="51" t="str">
        <x:v>건축물 조회 보조 데이터로 사용됩니다.</x:v>
      </x:c>
    </x:row>
    <x:row r="20" ht="58" customHeight="1">
      <x:c r="A20" s="49" t="str">
        <x:v>FIRE_DAMAGE</x:v>
      </x:c>
      <x:c r="B20" s="50" t="str">
        <x:v>지역별 화재피해 현황</x:v>
      </x:c>
      <x:c r="C20" s="50" t="str">
        <x:v>공공/소방</x:v>
      </x:c>
      <x:c r="D20" s="50" t="str">
        <x:v>소방청</x:v>
      </x:c>
      <x:c r="E20" s="50" t="str">
        <x:v>FIRE_DAMAGE_API_KEY</x:v>
      </x:c>
      <x:c r="F20" s="56" t="str">
        <x:v>사용 중</x:v>
      </x:c>
      <x:c r="G20" s="50" t="str">
        <x:v>Worker -&gt; apiClient</x:v>
      </x:c>
      <x:c r="H20" s="50" t="str">
        <x:v>/api/fire-damage</x:v>
      </x:c>
      <x:c r="I20" s="50" t="str">
        <x:v>https://apis.data.go.kr/1661000/FireDamageStatus</x:v>
      </x:c>
      <x:c r="J20" s="50" t="str">
        <x:v>FireDamageView</x:v>
      </x:c>
      <x:c r="K20" s="50" t="str">
        <x:v>worker/src/routes/fireDamage.ts; src/components/FireDamageView.tsx</x:v>
      </x:c>
      <x:c r="L20" s="51" t="str">
        <x:v>파일 주석 기준 데이터 범위는 2019-01~2023-12입니다.</x:v>
      </x:c>
    </x:row>
    <x:row r="21" ht="58" customHeight="1">
      <x:c r="A21" s="49" t="str">
        <x:v>WILDFIRE</x:v>
      </x:c>
      <x:c r="B21" s="50" t="str">
        <x:v>산불정보</x:v>
      </x:c>
      <x:c r="C21" s="50" t="str">
        <x:v>공공/재난</x:v>
      </x:c>
      <x:c r="D21" s="50" t="str">
        <x:v>재난안전데이터포털</x:v>
      </x:c>
      <x:c r="E21" s="50" t="str">
        <x:v>WILDFIRE_API_KEY</x:v>
      </x:c>
      <x:c r="F21" s="56" t="str">
        <x:v>사용 중</x:v>
      </x:c>
      <x:c r="G21" s="50" t="str">
        <x:v>Worker -&gt; wildfireApi</x:v>
      </x:c>
      <x:c r="H21" s="50" t="str">
        <x:v>/api/wildfire</x:v>
      </x:c>
      <x:c r="I21" s="50" t="str">
        <x:v>https://www.safetydata.go.kr/V2/api/DSSP-IF-10346</x:v>
      </x:c>
      <x:c r="J21" s="50" t="str">
        <x:v>WildfireTicker, WildfireView, App 알림</x:v>
      </x:c>
      <x:c r="K21" s="50" t="str">
        <x:v>worker/src/routes/wildfire.ts; src/services/wildfireApi.ts</x:v>
      </x:c>
      <x:c r="L21" s="51" t="str">
        <x:v>재난 알림에도 사용됩니다.</x:v>
      </x:c>
    </x:row>
    <x:row r="22" ht="58" customHeight="1">
      <x:c r="A22" s="49" t="str">
        <x:v>FOREST_FIRE_RISK</x:v>
      </x:c>
      <x:c r="B22" s="50" t="str">
        <x:v>산불위험예보정보</x:v>
      </x:c>
      <x:c r="C22" s="50" t="str">
        <x:v>공공/산림</x:v>
      </x:c>
      <x:c r="D22" s="50" t="str">
        <x:v>국립산림과학원/공공데이터포털</x:v>
      </x:c>
      <x:c r="E22" s="50" t="str">
        <x:v>FOREST_FIRE_API_KEY</x:v>
      </x:c>
      <x:c r="F22" s="56" t="str">
        <x:v>사용 중</x:v>
      </x:c>
      <x:c r="G22" s="50" t="str">
        <x:v>Worker -&gt; apiClient -&gt; forestFireRiskApi</x:v>
      </x:c>
      <x:c r="H22" s="50" t="str">
        <x:v>/api/forest-fire-risk</x:v>
      </x:c>
      <x:c r="I22" s="50" t="str">
        <x:v>https://apis.data.go.kr/1400377/forestPointV2</x:v>
      </x:c>
      <x:c r="J22" s="50" t="str">
        <x:v>ForestFireRiskCard</x:v>
      </x:c>
      <x:c r="K22" s="50" t="str">
        <x:v>worker/src/routes/forestFireRisk.ts; src/services/forestFireRiskApi.ts</x:v>
      </x:c>
      <x:c r="L22" s="51" t="str">
        <x:v>data.go.kr 데이터셋 15084817로 주석 처리되어 있습니다.</x:v>
      </x:c>
    </x:row>
    <x:row r="23" ht="58" customHeight="1">
      <x:c r="A23" s="49" t="str">
        <x:v>DISASTER_MSG</x:v>
      </x:c>
      <x:c r="B23" s="50" t="str">
        <x:v>긴급재난문자</x:v>
      </x:c>
      <x:c r="C23" s="50" t="str">
        <x:v>공공/재난</x:v>
      </x:c>
      <x:c r="D23" s="50" t="str">
        <x:v>행정안전부/재난안전데이터포털</x:v>
      </x:c>
      <x:c r="E23" s="50" t="str">
        <x:v>DISASTER_API_KEY</x:v>
      </x:c>
      <x:c r="F23" s="56" t="str">
        <x:v>사용 중</x:v>
      </x:c>
      <x:c r="G23" s="50" t="str">
        <x:v>Worker -&gt; disasterMsgApi</x:v>
      </x:c>
      <x:c r="H23" s="50" t="str">
        <x:v>/api/disaster-msg</x:v>
      </x:c>
      <x:c r="I23" s="50" t="str">
        <x:v>https://www.safetydata.go.kr/V2/api/DSSP-IF-00247</x:v>
      </x:c>
      <x:c r="J23" s="50" t="str">
        <x:v>App, DisasterTicker, 알림 설정</x:v>
      </x:c>
      <x:c r="K23" s="50" t="str">
        <x:v>worker/src/routes/disaster.ts; src/services/disasterMsgApi.ts</x:v>
      </x:c>
      <x:c r="L23" s="51" t="str">
        <x:v>짧은 캐시(3분)로 실시간성을 어느 정도 유지합니다.</x:v>
      </x:c>
    </x:row>
    <x:row r="24" ht="58" customHeight="1">
      <x:c r="A24" s="49" t="str">
        <x:v>EQUIPMENT</x:v>
      </x:c>
      <x:c r="B24" s="50" t="str">
        <x:v>소방장비/소화기 인증 정보</x:v>
      </x:c>
      <x:c r="C24" s="50" t="str">
        <x:v>공공/장비</x:v>
      </x:c>
      <x:c r="D24" s="50" t="str">
        <x:v>공공데이터포털</x:v>
      </x:c>
      <x:c r="E24" s="50" t="str">
        <x:v>EQUIPMENT_API_KEY</x:v>
      </x:c>
      <x:c r="F24" s="56" t="str">
        <x:v>사용 중</x:v>
      </x:c>
      <x:c r="G24" s="50" t="str">
        <x:v>Worker -&gt; equipmentApi</x:v>
      </x:c>
      <x:c r="H24" s="50" t="str">
        <x:v>/api/equipment/cert, /api/equipment/extinguisher</x:v>
      </x:c>
      <x:c r="I24" s="50" t="str">
        <x:v>http://apis.data.go.kr/B552486/opnFeqpmCtfcn; opnGcExsrImpmAply</x:v>
      </x:c>
      <x:c r="J24" s="50" t="str">
        <x:v>EquipmentCertSearch</x:v>
      </x:c>
      <x:c r="K24" s="50" t="str">
        <x:v>worker/src/routes/equipment.ts; src/services/equipmentApi.ts</x:v>
      </x:c>
      <x:c r="L24" s="51" t="str">
        <x:v>장비 인증 검색 화면에서 사용합니다.</x:v>
      </x:c>
    </x:row>
    <x:row r="25" ht="58" customHeight="1">
      <x:c r="A25" s="49" t="str">
        <x:v>CONSUMER_HAZARD</x:v>
      </x:c>
      <x:c r="B25" s="50" t="str">
        <x:v>소비자 위해정보 동향</x:v>
      </x:c>
      <x:c r="C25" s="50" t="str">
        <x:v>공공/안전</x:v>
      </x:c>
      <x:c r="D25" s="50" t="str">
        <x:v>공공데이터포털</x:v>
      </x:c>
      <x:c r="E25" s="50" t="str">
        <x:v>CONSUMER_HAZARD_API_KEY</x:v>
      </x:c>
      <x:c r="F25" s="56" t="str">
        <x:v>사용 중</x:v>
      </x:c>
      <x:c r="G25" s="50" t="str">
        <x:v>Worker -&gt; consumerHazardApi</x:v>
      </x:c>
      <x:c r="H25" s="50" t="str">
        <x:v>/api/consumer-hazard</x:v>
      </x:c>
      <x:c r="I25" s="50" t="str">
        <x:v>https://apis.data.go.kr/B551919/open-api/harm/reception</x:v>
      </x:c>
      <x:c r="J25" s="50" t="str">
        <x:v>ConsumerHazardView</x:v>
      </x:c>
      <x:c r="K25" s="50" t="str">
        <x:v>worker/src/routes/consumerHazard.ts; src/services/consumerHazardApi.ts</x:v>
      </x:c>
      <x:c r="L25" s="51" t="str">
        <x:v>위해정보 동향 화면에서 사용합니다.</x:v>
      </x:c>
    </x:row>
    <x:row r="26" ht="58" customHeight="1">
      <x:c r="A26" s="49" t="str">
        <x:v>AMBULANCE</x:v>
      </x:c>
      <x:c r="B26" s="50" t="str">
        <x:v>사설 구급차 조회</x:v>
      </x:c>
      <x:c r="C26" s="50" t="str">
        <x:v>공공/의료</x:v>
      </x:c>
      <x:c r="D26" s="50" t="str">
        <x:v>국립중앙의료원</x:v>
      </x:c>
      <x:c r="E26" s="50" t="str">
        <x:v>AMBULANCE_API_KEY</x:v>
      </x:c>
      <x:c r="F26" s="56" t="str">
        <x:v>사용 중</x:v>
      </x:c>
      <x:c r="G26" s="50" t="str">
        <x:v>Worker -&gt; ambulanceApi</x:v>
      </x:c>
      <x:c r="H26" s="50" t="str">
        <x:v>/api/ambulance</x:v>
      </x:c>
      <x:c r="I26" s="50" t="str">
        <x:v>https://apis.data.go.kr/B552657/AmblInfoInqireService</x:v>
      </x:c>
      <x:c r="J26" s="50" t="str">
        <x:v>PrivateAmbulanceView</x:v>
      </x:c>
      <x:c r="K26" s="50" t="str">
        <x:v>worker/src/routes/ambulance.ts; src/services/ambulanceApi.ts</x:v>
      </x:c>
      <x:c r="L26" s="51" t="str">
        <x:v>비응급 환자 이송업체 안내용입니다.</x:v>
      </x:c>
    </x:row>
    <x:row r="27" ht="58" customHeight="1">
      <x:c r="A27" s="49" t="str">
        <x:v>LAW</x:v>
      </x:c>
      <x:c r="B27" s="50" t="str">
        <x:v>국가법령정보센터 DRF</x:v>
      </x:c>
      <x:c r="C27" s="50" t="str">
        <x:v>공공/법령</x:v>
      </x:c>
      <x:c r="D27" s="50" t="str">
        <x:v>법제처</x:v>
      </x:c>
      <x:c r="E27" s="50" t="str">
        <x:v>OC=fire119helper (코드 상수)</x:v>
      </x:c>
      <x:c r="F27" s="56" t="str">
        <x:v>사용 중</x:v>
      </x:c>
      <x:c r="G27" s="50" t="str">
        <x:v>Worker 직접 프록시 -&gt; lawApi</x:v>
      </x:c>
      <x:c r="H27" s="50" t="str">
        <x:v>/api/law/search, /api/law/detail</x:v>
      </x:c>
      <x:c r="I27" s="50" t="str">
        <x:v>https://www.law.go.kr/DRF</x:v>
      </x:c>
      <x:c r="J27" s="50" t="str">
        <x:v>LawDashboard</x:v>
      </x:c>
      <x:c r="K27" s="50" t="str">
        <x:v>worker/src/routes/law.ts; src/services/lawApi.ts</x:v>
      </x:c>
      <x:c r="L27" s="51" t="str">
        <x:v>시크릿은 아니지만 OC 코드와 도메인 검증 이슈가 있습니다.</x:v>
      </x:c>
    </x:row>
    <x:row r="28" ht="58" customHeight="1">
      <x:c r="A28" s="49" t="str">
        <x:v>NEWS</x:v>
      </x:c>
      <x:c r="B28" s="50" t="str">
        <x:v>뉴스 검색/RSS</x:v>
      </x:c>
      <x:c r="C28" s="50" t="str">
        <x:v>외부/뉴스</x:v>
      </x:c>
      <x:c r="D28" s="50" t="str">
        <x:v>Korea.kr, Google News, Bing News, Naver</x:v>
      </x:c>
      <x:c r="E28" s="50" t="str">
        <x:v>NAVER_CLIENT_ID, NAVER_CLIENT_SECRET (선택)</x:v>
      </x:c>
      <x:c r="F28" s="56" t="str">
        <x:v>사용 중</x:v>
      </x:c>
      <x:c r="G28" s="50" t="str">
        <x:v>Worker newsHandler -&gt; newsApi</x:v>
      </x:c>
      <x:c r="H28" s="50" t="str">
        <x:v>/api/news</x:v>
      </x:c>
      <x:c r="I28" s="50" t="str">
        <x:v>https://www.korea.kr/rss/dept_nfa.xml; Google/Bing RSS; https://openapi.naver.com/v1/search/news.json</x:v>
      </x:c>
      <x:c r="J28" s="50" t="str">
        <x:v>NewsDashboard, PolicyDashboard, WeatherAlertBanner</x:v>
      </x:c>
      <x:c r="K28" s="50" t="str">
        <x:v>worker/src/routes/news.ts; src/services/newsApi.ts</x:v>
      </x:c>
      <x:c r="L28" s="51" t="str">
        <x:v>Naver 키가 있으면 우선 사용하고 없으면 RSS fallback입니다.</x:v>
      </x:c>
    </x:row>
    <x:row r="29" ht="58" customHeight="1">
      <x:c r="A29" s="49" t="str">
        <x:v>RESTROOM_STATIC</x:v>
      </x:c>
      <x:c r="B29" s="50" t="str">
        <x:v>공중화장실 정적 JSON</x:v>
      </x:c>
      <x:c r="C29" s="50" t="str">
        <x:v>정적 공공데이터</x:v>
      </x:c>
      <x:c r="D29" s="50" t="str">
        <x:v>공공데이터포털</x:v>
      </x:c>
      <x:c r="E29" s="50" t="str">
        <x:v>RESTROOM_API_KEY (스크립트 전용)</x:v>
      </x:c>
      <x:c r="F29" s="60" t="str">
        <x:v>사용 중(정적)</x:v>
      </x:c>
      <x:c r="G29" s="50" t="str">
        <x:v>프런트에서 정적 JSON 직접 조회</x:v>
      </x:c>
      <x:c r="H29" s="50" t="str">
        <x:v>/data/restrooms/*.json</x:v>
      </x:c>
      <x:c r="I29" s="50" t="str">
        <x:v>https://apis.data.go.kr/1741000/public_restroom_info/info</x:v>
      </x:c>
      <x:c r="J29" s="50" t="str">
        <x:v>FacilitySearchView, OfflineDataSection</x:v>
      </x:c>
      <x:c r="K29" s="50" t="str">
        <x:v>src/services/restroomApi.ts; scripts/sync-restrooms.js</x:v>
      </x:c>
      <x:c r="L29" s="51" t="str">
        <x:v>API 키는 브라우저/Worker가 아니라 동기화 스크립트에서만 사용됩니다.</x:v>
      </x:c>
    </x:row>
    <x:row r="30" ht="58" customHeight="1">
      <x:c r="A30" s="52" t="str">
        <x:v>CLIENT_LOG</x:v>
      </x:c>
      <x:c r="B30" s="53" t="str">
        <x:v>클라이언트 오류 텔레메트리</x:v>
      </x:c>
      <x:c r="C30" s="53" t="str">
        <x:v>내부 Worker API</x:v>
      </x:c>
      <x:c r="D30" s="53" t="str">
        <x:v>Cloudflare Worker</x:v>
      </x:c>
      <x:c r="E30" s="53" t="str">
        <x:v>APP_ACCESS_TOKEN</x:v>
      </x:c>
      <x:c r="F30" s="68" t="str">
        <x:v>사용 중</x:v>
      </x:c>
      <x:c r="G30" s="53" t="str">
        <x:v>telemetry -&gt; Worker</x:v>
      </x:c>
      <x:c r="H30" s="53" t="str">
        <x:v>/api/client-log</x:v>
      </x:c>
      <x:c r="I30" s="53" t="str">
        <x:v>내부 로그 수집</x:v>
      </x:c>
      <x:c r="J30" s="53" t="str">
        <x:v>ErrorBoundary, 전역 오류 보고</x:v>
      </x:c>
      <x:c r="K30" s="53" t="str">
        <x:v>worker/src/routes/clientLog.ts; src/services/telemetry.ts</x:v>
      </x:c>
      <x:c r="L30" s="54" t="str">
        <x:v>공공 API는 아니지만 운영 관측성 의존성입니다.</x:v>
      </x:c>
    </x:row>
  </x:sheetData>
  <x:pageMargins left="0.7" right="0.7" top="0.75" bottom="0.75" header="0.3" footer="0.3"/>
  <x:tableParts count="1">
    <x:tablePart xmlns:r="http://schemas.openxmlformats.org/officeDocument/2006/relationships" r:id="R05b6e4cc6f944c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6" hidden="0" customWidth="1"/>
    <x:col min="4" max="4" width="42" hidden="0" customWidth="1"/>
    <x:col min="5" max="5" width="24" hidden="0" customWidth="1"/>
    <x:col min="6" max="6" width="36" hidden="0" customWidth="1"/>
    <x:col min="7" max="7" width="34" hidden="0" customWidth="1"/>
    <x:col min="8" max="8" width="18" hidden="0" customWidth="1"/>
    <x:col min="9" max="9" width="38" hidden="0" customWidth="1"/>
    <x:col min="10" max="10" width="44" hidden="0" customWidth="1"/>
  </x:cols>
  <x:sheetData>
    <x:row r="1" ht="34" customHeight="1">
      <x:c r="A1" s="34" t="str">
        <x:v>내부 라우트</x:v>
      </x:c>
      <x:c r="B1" s="35" t="str">
        <x:v>핸들러</x:v>
      </x:c>
      <x:c r="C1" s="35" t="str">
        <x:v>시크릿</x:v>
      </x:c>
      <x:c r="D1" s="35" t="str">
        <x:v>업스트림</x:v>
      </x:c>
      <x:c r="E1" s="35" t="str">
        <x:v>현재 상태</x:v>
      </x:c>
      <x:c r="F1" s="35" t="str">
        <x:v>프런트 함수/서비스</x:v>
      </x:c>
      <x:c r="G1" s="35" t="str">
        <x:v>화면/사용처</x:v>
      </x:c>
      <x:c r="H1" s="35" t="str">
        <x:v>캐시/TTL</x:v>
      </x:c>
      <x:c r="I1" s="35" t="str">
        <x:v>근거 파일</x:v>
      </x:c>
      <x:c r="J1" s="36" t="str">
        <x:v>메모</x:v>
      </x:c>
    </x:row>
    <x:row r="2" ht="58" customHeight="1">
      <x:c r="A2" s="49" t="str">
        <x:v>/api/weather/*</x:v>
      </x:c>
      <x:c r="B2" s="50" t="str">
        <x:v>handleWeather</x:v>
      </x:c>
      <x:c r="C2" s="50" t="str">
        <x:v>KMA_API_KEY</x:v>
      </x:c>
      <x:c r="D2" s="50" t="str">
        <x:v>KMA API Hub + Open-Meteo fallback</x:v>
      </x:c>
      <x:c r="E2" s="56" t="str">
        <x:v>사용 중</x:v>
      </x:c>
      <x:c r="F2" s="50" t="str">
        <x:v>fetchWeatherNow/Ultra/Forecast/Mid/Briefing</x:v>
      </x:c>
      <x:c r="G2" s="50" t="str">
        <x:v>DashboardView, WeatherDashboard, SafetyMonitor, WildfireView</x:v>
      </x:c>
      <x:c r="H2" s="50" t="str">
        <x:v>10분~6시간</x:v>
      </x:c>
      <x:c r="I2" s="50" t="str">
        <x:v>worker/src/index.ts; worker/src/routes/weather.ts</x:v>
      </x:c>
      <x:c r="J2" s="51" t="str">
        <x:v>KMA 실패 시 fallbackWeather</x:v>
      </x:c>
    </x:row>
    <x:row r="3" ht="58" customHeight="1">
      <x:c r="A3" s="49" t="str">
        <x:v>/api/air</x:v>
      </x:c>
      <x:c r="B3" s="50" t="str">
        <x:v>handleAir</x:v>
      </x:c>
      <x:c r="C3" s="50" t="str">
        <x:v>AIR_API_KEY</x:v>
      </x:c>
      <x:c r="D3" s="50" t="str">
        <x:v>AirKorea</x:v>
      </x:c>
      <x:c r="E3" s="56" t="str">
        <x:v>사용 중</x:v>
      </x:c>
      <x:c r="F3" s="50" t="str">
        <x:v>fetchAirQuality -&gt; getRealtimeAirQuality</x:v>
      </x:c>
      <x:c r="G3" s="50" t="str">
        <x:v>DashboardView, WeatherDashboard</x:v>
      </x:c>
      <x:c r="H3" s="50" t="str">
        <x:v>30분 프런트 캐시</x:v>
      </x:c>
      <x:c r="I3" s="50" t="str">
        <x:v>worker/src/routes/air.ts; src/services/airQualityApi.ts</x:v>
      </x:c>
      <x:c r="J3" s="51" t="str"/>
    </x:row>
    <x:row r="4" ht="58" customHeight="1">
      <x:c r="A4" s="49" t="str">
        <x:v>/api/er/*</x:v>
      </x:c>
      <x:c r="B4" s="50" t="str">
        <x:v>handleER</x:v>
      </x:c>
      <x:c r="C4" s="50" t="str">
        <x:v>ER_API_KEY</x:v>
      </x:c>
      <x:c r="D4" s="50" t="str">
        <x:v>NMC ErmctInfoInqireService</x:v>
      </x:c>
      <x:c r="E4" s="56" t="str">
        <x:v>사용 중</x:v>
      </x:c>
      <x:c r="F4" s="50" t="str">
        <x:v>fetchERBeds/List/Messages/Severe</x:v>
      </x:c>
      <x:c r="G4" s="50" t="str">
        <x:v>DashboardView, ERDashboard, TriageView</x:v>
      </x:c>
      <x:c r="H4" s="50" t="str">
        <x:v>5분 프런트 캐시</x:v>
      </x:c>
      <x:c r="I4" s="50" t="str">
        <x:v>worker/src/routes/er.ts; src/services/erApi.ts</x:v>
      </x:c>
      <x:c r="J4" s="51" t="str">
        <x:v>list/location 일부는 현재 화면 참조가 약함</x:v>
      </x:c>
    </x:row>
    <x:row r="5" ht="58" customHeight="1">
      <x:c r="A5" s="49" t="str">
        <x:v>/api/building</x:v>
      </x:c>
      <x:c r="B5" s="50" t="str">
        <x:v>handleBuilding</x:v>
      </x:c>
      <x:c r="C5" s="50" t="str">
        <x:v>BUILDING_API_KEY</x:v>
      </x:c>
      <x:c r="D5" s="50" t="str">
        <x:v>BldRgstHubService</x:v>
      </x:c>
      <x:c r="E5" s="56" t="str">
        <x:v>사용 중</x:v>
      </x:c>
      <x:c r="F5" s="50" t="str">
        <x:v>fetchBuildingInfo -&gt; fetchBuildingRegister</x:v>
      </x:c>
      <x:c r="G5" s="50" t="str">
        <x:v>BuildingView</x:v>
      </x:c>
      <x:c r="H5" s="50" t="str">
        <x:v>기본 7일</x:v>
      </x:c>
      <x:c r="I5" s="50" t="str">
        <x:v>worker/src/routes/building.ts; src/services/buildingApi.ts</x:v>
      </x:c>
      <x:c r="J5" s="51" t="str"/>
    </x:row>
    <x:row r="6" ht="58" customHeight="1">
      <x:c r="A6" s="49" t="str">
        <x:v>/api/fire-object/*</x:v>
      </x:c>
      <x:c r="B6" s="50" t="str">
        <x:v>handleFireObject</x:v>
      </x:c>
      <x:c r="C6" s="50" t="str">
        <x:v>FIRE_OBJECT_API_KEY</x:v>
      </x:c>
      <x:c r="D6" s="50" t="str">
        <x:v>SpecificFireObject services</x:v>
      </x:c>
      <x:c r="E6" s="56" t="str">
        <x:v>사용 중</x:v>
      </x:c>
      <x:c r="F6" s="50" t="str">
        <x:v>fetchFireObjectAccom/FireSys</x:v>
      </x:c>
      <x:c r="G6" s="50" t="str">
        <x:v>BuildingView</x:v>
      </x:c>
      <x:c r="H6" s="50" t="str">
        <x:v>기본 7일</x:v>
      </x:c>
      <x:c r="I6" s="50" t="str">
        <x:v>worker/src/routes/fireObject.ts</x:v>
      </x:c>
      <x:c r="J6" s="51" t="str"/>
    </x:row>
    <x:row r="7" ht="58" customHeight="1">
      <x:c r="A7" s="49" t="str">
        <x:v>/api/firewater</x:v>
      </x:c>
      <x:c r="B7" s="50" t="str">
        <x:v>handleFireWater</x:v>
      </x:c>
      <x:c r="C7" s="50" t="str">
        <x:v>FIRE_WATER_API_KEY</x:v>
      </x:c>
      <x:c r="D7" s="50" t="str">
        <x:v>tn_pubr_public_ffus_wtrcns_api</x:v>
      </x:c>
      <x:c r="E7" s="62" t="str">
        <x:v>현재 UI 미사용/정적 대체</x:v>
      </x:c>
      <x:c r="F7" s="50" t="str">
        <x:v>fetchFireWater (외부 참조 없음)</x:v>
      </x:c>
      <x:c r="G7" s="50" t="str">
        <x:v>없음</x:v>
      </x:c>
      <x:c r="H7" s="50" t="str">
        <x:v>Worker route</x:v>
      </x:c>
      <x:c r="I7" s="50" t="str">
        <x:v>worker/src/routes/firewater.ts; src/services/apiClient.ts</x:v>
      </x:c>
      <x:c r="J7" s="51" t="str">
        <x:v>UI는 /firewater/*.json 사용</x:v>
      </x:c>
    </x:row>
    <x:row r="8" ht="58" customHeight="1">
      <x:c r="A8" s="49" t="str">
        <x:v>/api/holiday</x:v>
      </x:c>
      <x:c r="B8" s="50" t="str">
        <x:v>handleHoliday</x:v>
      </x:c>
      <x:c r="C8" s="50" t="str">
        <x:v>HOLIDAY_API_KEY</x:v>
      </x:c>
      <x:c r="D8" s="50" t="str">
        <x:v>SpcdeInfoService/getRestDeInfo</x:v>
      </x:c>
      <x:c r="E8" s="62" t="str">
        <x:v>현재 UI 미사용/정적 대체</x:v>
      </x:c>
      <x:c r="F8" s="50" t="str">
        <x:v>getHolidays/getYearHolidays 외부 참조 없음</x:v>
      </x:c>
      <x:c r="G8" s="50" t="str">
        <x:v>Calendar는 정적 holidays 사용</x:v>
      </x:c>
      <x:c r="H8" s="50" t="str">
        <x:v>30일</x:v>
      </x:c>
      <x:c r="I8" s="50" t="str">
        <x:v>worker/src/routes/holiday.ts; src/components/Calendar.tsx</x:v>
      </x:c>
      <x:c r="J8" s="51" t="str">
        <x:v>README와 코드 경로 차이</x:v>
      </x:c>
    </x:row>
    <x:row r="9" ht="58" customHeight="1">
      <x:c r="A9" s="49" t="str">
        <x:v>/api/multiuse</x:v>
      </x:c>
      <x:c r="B9" s="50" t="str">
        <x:v>handleMultiUse</x:v>
      </x:c>
      <x:c r="C9" s="50" t="str">
        <x:v>MULTI_USE_API_KEY</x:v>
      </x:c>
      <x:c r="D9" s="50" t="str">
        <x:v>api.odcloud.kr/api/15066545/v1</x:v>
      </x:c>
      <x:c r="E9" s="56" t="str">
        <x:v>사용 중</x:v>
      </x:c>
      <x:c r="F9" s="50" t="str">
        <x:v>fetchMultiUseFacilities</x:v>
      </x:c>
      <x:c r="G9" s="50" t="str">
        <x:v>MultiUseView</x:v>
      </x:c>
      <x:c r="H9" s="50" t="str">
        <x:v>기본 7일</x:v>
      </x:c>
      <x:c r="I9" s="50" t="str">
        <x:v>worker/src/routes/multiuse.ts</x:v>
      </x:c>
      <x:c r="J9" s="51" t="str"/>
    </x:row>
    <x:row r="10" ht="58" customHeight="1">
      <x:c r="A10" s="49" t="str">
        <x:v>/api/shelter</x:v>
      </x:c>
      <x:c r="B10" s="50" t="str">
        <x:v>handleShelter</x:v>
      </x:c>
      <x:c r="C10" s="50" t="str">
        <x:v>SHELTER_API_KEY</x:v>
      </x:c>
      <x:c r="D10" s="50" t="str">
        <x:v>Safetydata DSSP-IF-10944</x:v>
      </x:c>
      <x:c r="E10" s="56" t="str">
        <x:v>사용 중</x:v>
      </x:c>
      <x:c r="F10" s="50" t="str">
        <x:v>fetchShelters -&gt; getShelters</x:v>
      </x:c>
      <x:c r="G10" s="50" t="str">
        <x:v>ShelterView</x:v>
      </x:c>
      <x:c r="H10" s="50" t="str">
        <x:v>1일 Worker 캐시</x:v>
      </x:c>
      <x:c r="I10" s="50" t="str">
        <x:v>worker/src/routes/shelter.ts; src/services/shelterApi.ts</x:v>
      </x:c>
      <x:c r="J10" s="51" t="str"/>
    </x:row>
    <x:row r="11" ht="58" customHeight="1">
      <x:c r="A11" s="49" t="str">
        <x:v>/api/civil-shelter</x:v>
      </x:c>
      <x:c r="B11" s="50" t="str">
        <x:v>handleCivilShelter</x:v>
      </x:c>
      <x:c r="C11" s="50" t="str">
        <x:v>CIVIL_SHELTER_API_KEY</x:v>
      </x:c>
      <x:c r="D11" s="50" t="str">
        <x:v>Safetydata DSSP-IF-10166</x:v>
      </x:c>
      <x:c r="E11" s="62" t="str">
        <x:v>현재 UI 미사용/정적 대체</x:v>
      </x:c>
      <x:c r="F11" s="50" t="str">
        <x:v>fetchCivilShelters는 /data/civil.json 직접 조회</x:v>
      </x:c>
      <x:c r="G11" s="50" t="str">
        <x:v>FacilitySearchView 정적 데이터</x:v>
      </x:c>
      <x:c r="H11" s="50" t="str">
        <x:v>1일 Worker 캐시</x:v>
      </x:c>
      <x:c r="I11" s="50" t="str">
        <x:v>worker/src/routes/civilShelter.ts; src/services/apiClient.ts</x:v>
      </x:c>
      <x:c r="J11" s="51" t="str">
        <x:v>정적 갱신 방식이면 Worker route 정리 후보</x:v>
      </x:c>
    </x:row>
    <x:row r="12" ht="58" customHeight="1">
      <x:c r="A12" s="49" t="str">
        <x:v>/api/emergency/stats/*</x:v>
      </x:c>
      <x:c r="B12" s="50" t="str">
        <x:v>handleEmergencyStats</x:v>
      </x:c>
      <x:c r="C12" s="50" t="str">
        <x:v>EMERGENCY_API_KEY</x:v>
      </x:c>
      <x:c r="D12" s="50" t="str">
        <x:v>EmergencyStatisticsService</x:v>
      </x:c>
      <x:c r="E12" s="56" t="str">
        <x:v>사용 중</x:v>
      </x:c>
      <x:c r="F12" s="50" t="str">
        <x:v>fetchEmergencyStats</x:v>
      </x:c>
      <x:c r="G12" s="50" t="str">
        <x:v>EmergencyAnalysis</x:v>
      </x:c>
      <x:c r="H12" s="50" t="str">
        <x:v>기본 7일</x:v>
      </x:c>
      <x:c r="I12" s="50" t="str">
        <x:v>worker/src/routes/emergencyStats.ts</x:v>
      </x:c>
      <x:c r="J12" s="51" t="str"/>
    </x:row>
    <x:row r="13" ht="58" customHeight="1">
      <x:c r="A13" s="49" t="str">
        <x:v>/api/emergency/info/*</x:v>
      </x:c>
      <x:c r="B13" s="50" t="str">
        <x:v>handleEmergencyInfo</x:v>
      </x:c>
      <x:c r="C13" s="50" t="str">
        <x:v>EMERGENCY_API_KEY</x:v>
      </x:c>
      <x:c r="D13" s="50" t="str">
        <x:v>EmergencyInformationService</x:v>
      </x:c>
      <x:c r="E13" s="56" t="str">
        <x:v>사용 중</x:v>
      </x:c>
      <x:c r="F13" s="50" t="str">
        <x:v>fetchEmergencyInfo</x:v>
      </x:c>
      <x:c r="G13" s="50" t="str">
        <x:v>EmergencyAnalysis</x:v>
      </x:c>
      <x:c r="H13" s="50" t="str">
        <x:v>기본 7일</x:v>
      </x:c>
      <x:c r="I13" s="50" t="str">
        <x:v>worker/src/routes/emergencyInfo.ts</x:v>
      </x:c>
      <x:c r="J13" s="51" t="str"/>
    </x:row>
    <x:row r="14" ht="58" customHeight="1">
      <x:c r="A14" s="49" t="str">
        <x:v>/api/fire/*</x:v>
      </x:c>
      <x:c r="B14" s="50" t="str">
        <x:v>handleFireInfo</x:v>
      </x:c>
      <x:c r="C14" s="50" t="str">
        <x:v>FIRE_INFO_API_KEY</x:v>
      </x:c>
      <x:c r="D14" s="50" t="str">
        <x:v>FireInformationService</x:v>
      </x:c>
      <x:c r="E14" s="66" t="str">
        <x:v>현재 UI 미사용</x:v>
      </x:c>
      <x:c r="F14" s="50" t="str">
        <x:v>fetchFireInfo (외부 참조 없음)</x:v>
      </x:c>
      <x:c r="G14" s="50" t="str">
        <x:v>없음</x:v>
      </x:c>
      <x:c r="H14" s="50" t="str">
        <x:v>30분 프런트 캐시 함수</x:v>
      </x:c>
      <x:c r="I14" s="50" t="str">
        <x:v>worker/src/routes/fireInfo.ts; src/services/apiClient.ts</x:v>
      </x:c>
      <x:c r="J14" s="51" t="str">
        <x:v>기능 후보 또는 정리 대상</x:v>
      </x:c>
    </x:row>
    <x:row r="15" ht="58" customHeight="1">
      <x:c r="A15" s="49" t="str">
        <x:v>/api/fire-damage</x:v>
      </x:c>
      <x:c r="B15" s="50" t="str">
        <x:v>handleFireDamage</x:v>
      </x:c>
      <x:c r="C15" s="50" t="str">
        <x:v>FIRE_DAMAGE_API_KEY</x:v>
      </x:c>
      <x:c r="D15" s="50" t="str">
        <x:v>FireDamageStatus</x:v>
      </x:c>
      <x:c r="E15" s="56" t="str">
        <x:v>사용 중</x:v>
      </x:c>
      <x:c r="F15" s="50" t="str">
        <x:v>fetchFireDamage</x:v>
      </x:c>
      <x:c r="G15" s="50" t="str">
        <x:v>FireDamageView</x:v>
      </x:c>
      <x:c r="H15" s="50" t="str">
        <x:v>1일</x:v>
      </x:c>
      <x:c r="I15" s="50" t="str">
        <x:v>worker/src/routes/fireDamage.ts</x:v>
      </x:c>
      <x:c r="J15" s="51" t="str"/>
    </x:row>
    <x:row r="16" ht="58" customHeight="1">
      <x:c r="A16" s="49" t="str">
        <x:v>/api/fire-annual/*</x:v>
      </x:c>
      <x:c r="B16" s="50" t="str">
        <x:v>handleAnnualFireStats</x:v>
      </x:c>
      <x:c r="C16" s="50" t="str">
        <x:v>ANNUAL_FIRE_API_KEY</x:v>
      </x:c>
      <x:c r="D16" s="50" t="str">
        <x:v>api.odcloud.kr/api/15060386/v1</x:v>
      </x:c>
      <x:c r="E16" s="56" t="str">
        <x:v>사용 중</x:v>
      </x:c>
      <x:c r="F16" s="50" t="str">
        <x:v>fetchAnnualFireStats</x:v>
      </x:c>
      <x:c r="G16" s="50" t="str">
        <x:v>AnnualFireView, FireAnalysis</x:v>
      </x:c>
      <x:c r="H16" s="50" t="str">
        <x:v>30일</x:v>
      </x:c>
      <x:c r="I16" s="50" t="str">
        <x:v>worker/src/routes/annualFireStats.ts</x:v>
      </x:c>
      <x:c r="J16" s="51" t="str">
        <x:v>Worker에서 집계</x:v>
      </x:c>
    </x:row>
    <x:row r="17" ht="58" customHeight="1">
      <x:c r="A17" s="49" t="str">
        <x:v>/api/equipment/*</x:v>
      </x:c>
      <x:c r="B17" s="50" t="str">
        <x:v>handleEquipment</x:v>
      </x:c>
      <x:c r="C17" s="50" t="str">
        <x:v>EQUIPMENT_API_KEY</x:v>
      </x:c>
      <x:c r="D17" s="50" t="str">
        <x:v>B552486 equipment APIs</x:v>
      </x:c>
      <x:c r="E17" s="56" t="str">
        <x:v>사용 중</x:v>
      </x:c>
      <x:c r="F17" s="50" t="str">
        <x:v>fetchEquipmentCerts/fetchExtinguisherCerts</x:v>
      </x:c>
      <x:c r="G17" s="50" t="str">
        <x:v>EquipmentCertSearch</x:v>
      </x:c>
      <x:c r="H17" s="50" t="str">
        <x:v>Worker response</x:v>
      </x:c>
      <x:c r="I17" s="50" t="str">
        <x:v>worker/src/routes/equipment.ts</x:v>
      </x:c>
      <x:c r="J17" s="51" t="str"/>
    </x:row>
    <x:row r="18" ht="58" customHeight="1">
      <x:c r="A18" s="49" t="str">
        <x:v>/api/wildfire</x:v>
      </x:c>
      <x:c r="B18" s="50" t="str">
        <x:v>handleWildfire</x:v>
      </x:c>
      <x:c r="C18" s="50" t="str">
        <x:v>WILDFIRE_API_KEY</x:v>
      </x:c>
      <x:c r="D18" s="50" t="str">
        <x:v>Safetydata DSSP-IF-10346</x:v>
      </x:c>
      <x:c r="E18" s="56" t="str">
        <x:v>사용 중</x:v>
      </x:c>
      <x:c r="F18" s="50" t="str">
        <x:v>fetchWildfires</x:v>
      </x:c>
      <x:c r="G18" s="50" t="str">
        <x:v>WildfireTicker, WildfireView, App 알림</x:v>
      </x:c>
      <x:c r="H18" s="50" t="str">
        <x:v>Worker response</x:v>
      </x:c>
      <x:c r="I18" s="50" t="str">
        <x:v>worker/src/routes/wildfire.ts</x:v>
      </x:c>
      <x:c r="J18" s="51" t="str"/>
    </x:row>
    <x:row r="19" ht="58" customHeight="1">
      <x:c r="A19" s="49" t="str">
        <x:v>/api/forest-fire-risk</x:v>
      </x:c>
      <x:c r="B19" s="50" t="str">
        <x:v>handleForestFireRisk</x:v>
      </x:c>
      <x:c r="C19" s="50" t="str">
        <x:v>FOREST_FIRE_API_KEY</x:v>
      </x:c>
      <x:c r="D19" s="50" t="str">
        <x:v>forestPointV2</x:v>
      </x:c>
      <x:c r="E19" s="56" t="str">
        <x:v>사용 중</x:v>
      </x:c>
      <x:c r="F19" s="50" t="str">
        <x:v>fetchForestFireRisk -&gt; getForestFireRisk</x:v>
      </x:c>
      <x:c r="G19" s="50" t="str">
        <x:v>ForestFireRiskCard</x:v>
      </x:c>
      <x:c r="H19" s="50" t="str">
        <x:v>1시간 프런트 캐시</x:v>
      </x:c>
      <x:c r="I19" s="50" t="str">
        <x:v>worker/src/routes/forestFireRisk.ts</x:v>
      </x:c>
      <x:c r="J19" s="51" t="str"/>
    </x:row>
    <x:row r="20" ht="58" customHeight="1">
      <x:c r="A20" s="49" t="str">
        <x:v>/api/tsunami-shelter</x:v>
      </x:c>
      <x:c r="B20" s="50" t="str">
        <x:v>handleTsunamiShelter</x:v>
      </x:c>
      <x:c r="C20" s="50" t="str">
        <x:v>TSUNAMI_SHELTER_API_KEY</x:v>
      </x:c>
      <x:c r="D20" s="50" t="str">
        <x:v>Safetydata DSSP-IF-10944</x:v>
      </x:c>
      <x:c r="E20" s="64" t="str">
        <x:v>현재 UI 미사용/중복</x:v>
      </x:c>
      <x:c r="F20" s="50" t="str">
        <x:v>없음</x:v>
      </x:c>
      <x:c r="G20" s="50" t="str">
        <x:v>없음</x:v>
      </x:c>
      <x:c r="H20" s="50" t="str">
        <x:v>1일 Worker 캐시</x:v>
      </x:c>
      <x:c r="I20" s="50" t="str">
        <x:v>worker/src/routes/tsunamiShelter.ts</x:v>
      </x:c>
      <x:c r="J20" s="51" t="str">
        <x:v>/api/shelter와 중복</x:v>
      </x:c>
    </x:row>
    <x:row r="21" ht="58" customHeight="1">
      <x:c r="A21" s="49" t="str">
        <x:v>/api/disaster-msg</x:v>
      </x:c>
      <x:c r="B21" s="50" t="str">
        <x:v>handleDisasterMsg</x:v>
      </x:c>
      <x:c r="C21" s="50" t="str">
        <x:v>DISASTER_API_KEY</x:v>
      </x:c>
      <x:c r="D21" s="50" t="str">
        <x:v>Safetydata DSSP-IF-00247</x:v>
      </x:c>
      <x:c r="E21" s="56" t="str">
        <x:v>사용 중</x:v>
      </x:c>
      <x:c r="F21" s="50" t="str">
        <x:v>fetchDisasterMsgs</x:v>
      </x:c>
      <x:c r="G21" s="50" t="str">
        <x:v>App, DisasterTicker</x:v>
      </x:c>
      <x:c r="H21" s="50" t="str">
        <x:v>3분 Worker 캐시</x:v>
      </x:c>
      <x:c r="I21" s="50" t="str">
        <x:v>worker/src/routes/disaster.ts</x:v>
      </x:c>
      <x:c r="J21" s="51" t="str"/>
    </x:row>
    <x:row r="22" ht="58" customHeight="1">
      <x:c r="A22" s="49" t="str">
        <x:v>/api/consumer-hazard</x:v>
      </x:c>
      <x:c r="B22" s="50" t="str">
        <x:v>handleConsumerHazard</x:v>
      </x:c>
      <x:c r="C22" s="50" t="str">
        <x:v>CONSUMER_HAZARD_API_KEY</x:v>
      </x:c>
      <x:c r="D22" s="50" t="str">
        <x:v>B551919 harm/reception</x:v>
      </x:c>
      <x:c r="E22" s="56" t="str">
        <x:v>사용 중</x:v>
      </x:c>
      <x:c r="F22" s="50" t="str">
        <x:v>fetchConsumerHazards</x:v>
      </x:c>
      <x:c r="G22" s="50" t="str">
        <x:v>ConsumerHazardView</x:v>
      </x:c>
      <x:c r="H22" s="50" t="str">
        <x:v>Worker response</x:v>
      </x:c>
      <x:c r="I22" s="50" t="str">
        <x:v>worker/src/routes/consumerHazard.ts</x:v>
      </x:c>
      <x:c r="J22" s="51" t="str"/>
    </x:row>
    <x:row r="23" ht="58" customHeight="1">
      <x:c r="A23" s="49" t="str">
        <x:v>/api/ambulance</x:v>
      </x:c>
      <x:c r="B23" s="50" t="str">
        <x:v>handleAmbulance</x:v>
      </x:c>
      <x:c r="C23" s="50" t="str">
        <x:v>AMBULANCE_API_KEY</x:v>
      </x:c>
      <x:c r="D23" s="50" t="str">
        <x:v>AmblInfoInqireService</x:v>
      </x:c>
      <x:c r="E23" s="56" t="str">
        <x:v>사용 중</x:v>
      </x:c>
      <x:c r="F23" s="50" t="str">
        <x:v>fetchPrivateAmbulances</x:v>
      </x:c>
      <x:c r="G23" s="50" t="str">
        <x:v>PrivateAmbulanceView</x:v>
      </x:c>
      <x:c r="H23" s="50" t="str">
        <x:v>Worker response</x:v>
      </x:c>
      <x:c r="I23" s="50" t="str">
        <x:v>worker/src/routes/ambulance.ts</x:v>
      </x:c>
      <x:c r="J23" s="51" t="str"/>
    </x:row>
    <x:row r="24" ht="58" customHeight="1">
      <x:c r="A24" s="49" t="str">
        <x:v>/api/law/*</x:v>
      </x:c>
      <x:c r="B24" s="50" t="str">
        <x:v>handleLaw</x:v>
      </x:c>
      <x:c r="C24" s="50" t="str">
        <x:v>없음(OC 상수)</x:v>
      </x:c>
      <x:c r="D24" s="50" t="str">
        <x:v>law.go.kr/DRF</x:v>
      </x:c>
      <x:c r="E24" s="56" t="str">
        <x:v>사용 중</x:v>
      </x:c>
      <x:c r="F24" s="50" t="str">
        <x:v>searchLaw/getLawDetail</x:v>
      </x:c>
      <x:c r="G24" s="50" t="str">
        <x:v>LawDashboard</x:v>
      </x:c>
      <x:c r="H24" s="50" t="str">
        <x:v>1시간/1일</x:v>
      </x:c>
      <x:c r="I24" s="50" t="str">
        <x:v>worker/src/routes/law.ts; src/services/lawApi.ts</x:v>
      </x:c>
      <x:c r="J24" s="51" t="str">
        <x:v>OC=fire119helper</x:v>
      </x:c>
    </x:row>
    <x:row r="25" ht="58" customHeight="1">
      <x:c r="A25" s="49" t="str">
        <x:v>/api/news</x:v>
      </x:c>
      <x:c r="B25" s="50" t="str">
        <x:v>newsHandler</x:v>
      </x:c>
      <x:c r="C25" s="50" t="str">
        <x:v>NAVER_CLIENT_ID/SECRET 선택</x:v>
      </x:c>
      <x:c r="D25" s="50" t="str">
        <x:v>Korea.kr RSS, Naver, Google/Bing RSS</x:v>
      </x:c>
      <x:c r="E25" s="56" t="str">
        <x:v>사용 중</x:v>
      </x:c>
      <x:c r="F25" s="50" t="str">
        <x:v>fetchLocalNews/fetchPolicyNews/fetchWeatherAlerts</x:v>
      </x:c>
      <x:c r="G25" s="50" t="str">
        <x:v>NewsDashboard, PolicyDashboard, WeatherAlertBanner</x:v>
      </x:c>
      <x:c r="H25" s="50" t="str">
        <x:v>1시간 + KV</x:v>
      </x:c>
      <x:c r="I25" s="50" t="str">
        <x:v>worker/src/routes/news.ts; src/services/newsApi.ts</x:v>
      </x:c>
      <x:c r="J25" s="51" t="str">
        <x:v>Naver 없으면 RSS fallback</x:v>
      </x:c>
    </x:row>
    <x:row r="26" ht="58" customHeight="1">
      <x:c r="A26" s="49" t="str">
        <x:v>/api/client-log</x:v>
      </x:c>
      <x:c r="B26" s="50" t="str">
        <x:v>handleClientLog</x:v>
      </x:c>
      <x:c r="C26" s="50" t="str">
        <x:v>APP_ACCESS_TOKEN</x:v>
      </x:c>
      <x:c r="D26" s="50" t="str">
        <x:v>내부</x:v>
      </x:c>
      <x:c r="E26" s="56" t="str">
        <x:v>사용 중</x:v>
      </x:c>
      <x:c r="F26" s="50" t="str">
        <x:v>reportClientError</x:v>
      </x:c>
      <x:c r="G26" s="50" t="str">
        <x:v>ErrorBoundary, 전역 오류</x:v>
      </x:c>
      <x:c r="H26" s="50" t="str">
        <x:v>캐시 없음</x:v>
      </x:c>
      <x:c r="I26" s="50" t="str">
        <x:v>worker/src/routes/clientLog.ts; src/services/telemetry.ts</x:v>
      </x:c>
      <x:c r="J26" s="51" t="str">
        <x:v>운영 관측성</x:v>
      </x:c>
    </x:row>
    <x:row r="27" ht="58" customHeight="1">
      <x:c r="A27" s="52" t="str">
        <x:v>/api/health</x:v>
      </x:c>
      <x:c r="B27" s="53" t="str">
        <x:v>inline</x:v>
      </x:c>
      <x:c r="C27" s="53" t="str">
        <x:v>없음</x:v>
      </x:c>
      <x:c r="D27" s="53" t="str">
        <x:v>내부</x:v>
      </x:c>
      <x:c r="E27" s="70" t="str">
        <x:v>현재 UI 미사용</x:v>
      </x:c>
      <x:c r="F27" s="53" t="str">
        <x:v>없음</x:v>
      </x:c>
      <x:c r="G27" s="53" t="str">
        <x:v>헬스체크 수동/운영</x:v>
      </x:c>
      <x:c r="H27" s="53" t="str">
        <x:v>캐시 없음</x:v>
      </x:c>
      <x:c r="I27" s="53" t="str">
        <x:v>worker/src/index.ts</x:v>
      </x:c>
      <x:c r="J27" s="54" t="str">
        <x:v>헬스체크용</x:v>
      </x:c>
    </x:row>
  </x:sheetData>
  <x:pageMargins left="0.7" right="0.7" top="0.75" bottom="0.75" header="0.3" footer="0.3"/>
  <x:tableParts count="1">
    <x:tablePart xmlns:r="http://schemas.openxmlformats.org/officeDocument/2006/relationships" r:id="R580e38831b2343b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32" hidden="0" customWidth="1"/>
    <x:col min="7" max="7" width="24" hidden="0" customWidth="1"/>
    <x:col min="8" max="8" width="48" hidden="0" customWidth="1"/>
  </x:cols>
  <x:sheetData>
    <x:row r="1" ht="34" customHeight="1">
      <x:c r="A1" s="34" t="str">
        <x:v>환경변수/시크릿</x:v>
      </x:c>
      <x:c r="B1" s="35" t="str">
        <x:v>범위</x:v>
      </x:c>
      <x:c r="C1" s="35" t="str">
        <x:v>Env interface</x:v>
      </x:c>
      <x:c r="D1" s="35" t="str">
        <x:v>wrangler 예시</x:v>
      </x:c>
      <x:c r="E1" s="35" t="str">
        <x:v>.env.example</x:v>
      </x:c>
      <x:c r="F1" s="35" t="str">
        <x:v>코드 사용</x:v>
      </x:c>
      <x:c r="G1" s="35" t="str">
        <x:v>현재 상태</x:v>
      </x:c>
      <x:c r="H1" s="36" t="str">
        <x:v>비고</x:v>
      </x:c>
    </x:row>
    <x:row r="2" ht="58" customHeight="1">
      <x:c r="A2" s="49" t="str">
        <x:v>KMA_API_KEY</x:v>
      </x:c>
      <x:c r="B2" s="50" t="str">
        <x:v>Worker secret</x:v>
      </x:c>
      <x:c r="C2" s="50" t="str">
        <x:v>있음</x:v>
      </x:c>
      <x:c r="D2" s="50" t="str">
        <x:v>있음</x:v>
      </x:c>
      <x:c r="E2" s="50" t="str">
        <x:v>없음</x:v>
      </x:c>
      <x:c r="F2" s="50" t="str">
        <x:v>weather route</x:v>
      </x:c>
      <x:c r="G2" s="56" t="str">
        <x:v>사용 중</x:v>
      </x:c>
      <x:c r="H2" s="51" t="str"/>
    </x:row>
    <x:row r="3" ht="58" customHeight="1">
      <x:c r="A3" s="49" t="str">
        <x:v>ER_API_KEY</x:v>
      </x:c>
      <x:c r="B3" s="50" t="str">
        <x:v>Worker secret</x:v>
      </x:c>
      <x:c r="C3" s="50" t="str">
        <x:v>있음</x:v>
      </x:c>
      <x:c r="D3" s="50" t="str">
        <x:v>있음</x:v>
      </x:c>
      <x:c r="E3" s="50" t="str">
        <x:v>없음</x:v>
      </x:c>
      <x:c r="F3" s="50" t="str">
        <x:v>er route</x:v>
      </x:c>
      <x:c r="G3" s="56" t="str">
        <x:v>사용 중</x:v>
      </x:c>
      <x:c r="H3" s="51" t="str"/>
    </x:row>
    <x:row r="4" ht="58" customHeight="1">
      <x:c r="A4" s="49" t="str">
        <x:v>AIR_API_KEY</x:v>
      </x:c>
      <x:c r="B4" s="50" t="str">
        <x:v>Worker secret</x:v>
      </x:c>
      <x:c r="C4" s="50" t="str">
        <x:v>있음</x:v>
      </x:c>
      <x:c r="D4" s="50" t="str">
        <x:v>있음</x:v>
      </x:c>
      <x:c r="E4" s="50" t="str">
        <x:v>없음</x:v>
      </x:c>
      <x:c r="F4" s="50" t="str">
        <x:v>air route</x:v>
      </x:c>
      <x:c r="G4" s="56" t="str">
        <x:v>사용 중</x:v>
      </x:c>
      <x:c r="H4" s="51" t="str"/>
    </x:row>
    <x:row r="5" ht="58" customHeight="1">
      <x:c r="A5" s="49" t="str">
        <x:v>BUILDING_API_KEY</x:v>
      </x:c>
      <x:c r="B5" s="50" t="str">
        <x:v>Worker secret</x:v>
      </x:c>
      <x:c r="C5" s="50" t="str">
        <x:v>있음</x:v>
      </x:c>
      <x:c r="D5" s="50" t="str">
        <x:v>있음</x:v>
      </x:c>
      <x:c r="E5" s="50" t="str">
        <x:v>없음</x:v>
      </x:c>
      <x:c r="F5" s="50" t="str">
        <x:v>building route</x:v>
      </x:c>
      <x:c r="G5" s="56" t="str">
        <x:v>사용 중</x:v>
      </x:c>
      <x:c r="H5" s="51" t="str"/>
    </x:row>
    <x:row r="6" ht="58" customHeight="1">
      <x:c r="A6" s="49" t="str">
        <x:v>FIRE_WATER_API_KEY</x:v>
      </x:c>
      <x:c r="B6" s="50" t="str">
        <x:v>Worker secret</x:v>
      </x:c>
      <x:c r="C6" s="50" t="str">
        <x:v>있음</x:v>
      </x:c>
      <x:c r="D6" s="50" t="str">
        <x:v>있음</x:v>
      </x:c>
      <x:c r="E6" s="50" t="str">
        <x:v>없음</x:v>
      </x:c>
      <x:c r="F6" s="50" t="str">
        <x:v>firewater route</x:v>
      </x:c>
      <x:c r="G6" s="62" t="str">
        <x:v>현재 UI 미사용/정적 대체</x:v>
      </x:c>
      <x:c r="H6" s="51" t="str">
        <x:v>정적 JSON이 현재 UI 경로</x:v>
      </x:c>
    </x:row>
    <x:row r="7" ht="58" customHeight="1">
      <x:c r="A7" s="49" t="str">
        <x:v>HOLIDAY_API_KEY</x:v>
      </x:c>
      <x:c r="B7" s="50" t="str">
        <x:v>Worker secret</x:v>
      </x:c>
      <x:c r="C7" s="50" t="str">
        <x:v>있음</x:v>
      </x:c>
      <x:c r="D7" s="50" t="str">
        <x:v>있음</x:v>
      </x:c>
      <x:c r="E7" s="50" t="str">
        <x:v>없음</x:v>
      </x:c>
      <x:c r="F7" s="50" t="str">
        <x:v>holiday route</x:v>
      </x:c>
      <x:c r="G7" s="62" t="str">
        <x:v>현재 UI 미사용/정적 대체</x:v>
      </x:c>
      <x:c r="H7" s="51" t="str">
        <x:v>Calendar는 정적 holidays 사용</x:v>
      </x:c>
    </x:row>
    <x:row r="8" ht="58" customHeight="1">
      <x:c r="A8" s="49" t="str">
        <x:v>KAKAO_MAP_KEY</x:v>
      </x:c>
      <x:c r="B8" s="50" t="str">
        <x:v>Worker secret?</x:v>
      </x:c>
      <x:c r="C8" s="50" t="str">
        <x:v>없음</x:v>
      </x:c>
      <x:c r="D8" s="50" t="str">
        <x:v>있음</x:v>
      </x:c>
      <x:c r="E8" s="50" t="str">
        <x:v>없음</x:v>
      </x:c>
      <x:c r="F8" s="50" t="str">
        <x:v>Worker 사용 없음</x:v>
      </x:c>
      <x:c r="G8" s="72" t="str">
        <x:v>설정 정리 필요</x:v>
      </x:c>
      <x:c r="H8" s="51" t="str">
        <x:v>wrangler 예시에만 있고 Worker Env에 없습니다. 프런트는 VITE_KAKAO_MAP_KEY 사용</x:v>
      </x:c>
    </x:row>
    <x:row r="9" ht="58" customHeight="1">
      <x:c r="A9" s="49" t="str">
        <x:v>MULTI_USE_API_KEY</x:v>
      </x:c>
      <x:c r="B9" s="50" t="str">
        <x:v>Worker secret</x:v>
      </x:c>
      <x:c r="C9" s="50" t="str">
        <x:v>있음</x:v>
      </x:c>
      <x:c r="D9" s="50" t="str">
        <x:v>있음</x:v>
      </x:c>
      <x:c r="E9" s="50" t="str">
        <x:v>없음</x:v>
      </x:c>
      <x:c r="F9" s="50" t="str">
        <x:v>multiuse route</x:v>
      </x:c>
      <x:c r="G9" s="56" t="str">
        <x:v>사용 중</x:v>
      </x:c>
      <x:c r="H9" s="51" t="str"/>
    </x:row>
    <x:row r="10" ht="58" customHeight="1">
      <x:c r="A10" s="49" t="str">
        <x:v>SHELTER_API_KEY</x:v>
      </x:c>
      <x:c r="B10" s="50" t="str">
        <x:v>Worker secret</x:v>
      </x:c>
      <x:c r="C10" s="50" t="str">
        <x:v>있음</x:v>
      </x:c>
      <x:c r="D10" s="50" t="str">
        <x:v>있음</x:v>
      </x:c>
      <x:c r="E10" s="50" t="str">
        <x:v>없음</x:v>
      </x:c>
      <x:c r="F10" s="50" t="str">
        <x:v>shelter route</x:v>
      </x:c>
      <x:c r="G10" s="56" t="str">
        <x:v>사용 중</x:v>
      </x:c>
      <x:c r="H10" s="51" t="str"/>
    </x:row>
    <x:row r="11" ht="58" customHeight="1">
      <x:c r="A11" s="49" t="str">
        <x:v>EMERGENCY_API_KEY</x:v>
      </x:c>
      <x:c r="B11" s="50" t="str">
        <x:v>Worker secret</x:v>
      </x:c>
      <x:c r="C11" s="50" t="str">
        <x:v>있음</x:v>
      </x:c>
      <x:c r="D11" s="50" t="str">
        <x:v>있음</x:v>
      </x:c>
      <x:c r="E11" s="50" t="str">
        <x:v>없음</x:v>
      </x:c>
      <x:c r="F11" s="50" t="str">
        <x:v>emergency stats/info</x:v>
      </x:c>
      <x:c r="G11" s="56" t="str">
        <x:v>사용 중</x:v>
      </x:c>
      <x:c r="H11" s="51" t="str">
        <x:v>두 서비스가 공유</x:v>
      </x:c>
    </x:row>
    <x:row r="12" ht="58" customHeight="1">
      <x:c r="A12" s="49" t="str">
        <x:v>FIRE_INFO_API_KEY</x:v>
      </x:c>
      <x:c r="B12" s="50" t="str">
        <x:v>Worker secret</x:v>
      </x:c>
      <x:c r="C12" s="50" t="str">
        <x:v>있음</x:v>
      </x:c>
      <x:c r="D12" s="50" t="str">
        <x:v>있음</x:v>
      </x:c>
      <x:c r="E12" s="50" t="str">
        <x:v>없음</x:v>
      </x:c>
      <x:c r="F12" s="50" t="str">
        <x:v>fireInfo route</x:v>
      </x:c>
      <x:c r="G12" s="66" t="str">
        <x:v>현재 UI 미사용</x:v>
      </x:c>
      <x:c r="H12" s="51" t="str">
        <x:v>fetchFireInfo 외부 참조 없음</x:v>
      </x:c>
    </x:row>
    <x:row r="13" ht="58" customHeight="1">
      <x:c r="A13" s="49" t="str">
        <x:v>ANNUAL_FIRE_API_KEY</x:v>
      </x:c>
      <x:c r="B13" s="50" t="str">
        <x:v>Worker secret</x:v>
      </x:c>
      <x:c r="C13" s="50" t="str">
        <x:v>있음</x:v>
      </x:c>
      <x:c r="D13" s="50" t="str">
        <x:v>있음</x:v>
      </x:c>
      <x:c r="E13" s="50" t="str">
        <x:v>없음</x:v>
      </x:c>
      <x:c r="F13" s="50" t="str">
        <x:v>annualFire route</x:v>
      </x:c>
      <x:c r="G13" s="56" t="str">
        <x:v>사용 중</x:v>
      </x:c>
      <x:c r="H13" s="51" t="str"/>
    </x:row>
    <x:row r="14" ht="58" customHeight="1">
      <x:c r="A14" s="49" t="str">
        <x:v>FIRE_OBJECT_API_KEY</x:v>
      </x:c>
      <x:c r="B14" s="50" t="str">
        <x:v>Worker secret</x:v>
      </x:c>
      <x:c r="C14" s="50" t="str">
        <x:v>있음</x:v>
      </x:c>
      <x:c r="D14" s="50" t="str">
        <x:v>있음</x:v>
      </x:c>
      <x:c r="E14" s="50" t="str">
        <x:v>없음</x:v>
      </x:c>
      <x:c r="F14" s="50" t="str">
        <x:v>fireObject route</x:v>
      </x:c>
      <x:c r="G14" s="56" t="str">
        <x:v>사용 중</x:v>
      </x:c>
      <x:c r="H14" s="51" t="str"/>
    </x:row>
    <x:row r="15" ht="58" customHeight="1">
      <x:c r="A15" s="49" t="str">
        <x:v>FIRE_DAMAGE_API_KEY</x:v>
      </x:c>
      <x:c r="B15" s="50" t="str">
        <x:v>Worker secret</x:v>
      </x:c>
      <x:c r="C15" s="50" t="str">
        <x:v>있음</x:v>
      </x:c>
      <x:c r="D15" s="50" t="str">
        <x:v>있음</x:v>
      </x:c>
      <x:c r="E15" s="50" t="str">
        <x:v>없음</x:v>
      </x:c>
      <x:c r="F15" s="50" t="str">
        <x:v>fireDamage route</x:v>
      </x:c>
      <x:c r="G15" s="56" t="str">
        <x:v>사용 중</x:v>
      </x:c>
      <x:c r="H15" s="51" t="str"/>
    </x:row>
    <x:row r="16" ht="58" customHeight="1">
      <x:c r="A16" s="49" t="str">
        <x:v>WILDFIRE_API_KEY</x:v>
      </x:c>
      <x:c r="B16" s="50" t="str">
        <x:v>Worker secret</x:v>
      </x:c>
      <x:c r="C16" s="50" t="str">
        <x:v>있음</x:v>
      </x:c>
      <x:c r="D16" s="50" t="str">
        <x:v>있음</x:v>
      </x:c>
      <x:c r="E16" s="50" t="str">
        <x:v>없음</x:v>
      </x:c>
      <x:c r="F16" s="50" t="str">
        <x:v>wildfire route</x:v>
      </x:c>
      <x:c r="G16" s="56" t="str">
        <x:v>사용 중</x:v>
      </x:c>
      <x:c r="H16" s="51" t="str"/>
    </x:row>
    <x:row r="17" ht="58" customHeight="1">
      <x:c r="A17" s="49" t="str">
        <x:v>CIVIL_SHELTER_API_KEY</x:v>
      </x:c>
      <x:c r="B17" s="50" t="str">
        <x:v>Worker secret</x:v>
      </x:c>
      <x:c r="C17" s="50" t="str">
        <x:v>있음</x:v>
      </x:c>
      <x:c r="D17" s="50" t="str">
        <x:v>있음</x:v>
      </x:c>
      <x:c r="E17" s="50" t="str">
        <x:v>없음</x:v>
      </x:c>
      <x:c r="F17" s="50" t="str">
        <x:v>civilShelter route</x:v>
      </x:c>
      <x:c r="G17" s="62" t="str">
        <x:v>현재 UI 미사용/정적 대체</x:v>
      </x:c>
      <x:c r="H17" s="51" t="str">
        <x:v>/data/civil.json이 현재 UI 경로</x:v>
      </x:c>
    </x:row>
    <x:row r="18" ht="58" customHeight="1">
      <x:c r="A18" s="49" t="str">
        <x:v>FOREST_FIRE_API_KEY</x:v>
      </x:c>
      <x:c r="B18" s="50" t="str">
        <x:v>Worker secret</x:v>
      </x:c>
      <x:c r="C18" s="50" t="str">
        <x:v>있음</x:v>
      </x:c>
      <x:c r="D18" s="50" t="str">
        <x:v>있음</x:v>
      </x:c>
      <x:c r="E18" s="50" t="str">
        <x:v>없음</x:v>
      </x:c>
      <x:c r="F18" s="50" t="str">
        <x:v>forestFireRisk route</x:v>
      </x:c>
      <x:c r="G18" s="56" t="str">
        <x:v>사용 중</x:v>
      </x:c>
      <x:c r="H18" s="51" t="str"/>
    </x:row>
    <x:row r="19" ht="58" customHeight="1">
      <x:c r="A19" s="49" t="str">
        <x:v>TSUNAMI_SHELTER_API_KEY</x:v>
      </x:c>
      <x:c r="B19" s="50" t="str">
        <x:v>Worker secret</x:v>
      </x:c>
      <x:c r="C19" s="50" t="str">
        <x:v>있음</x:v>
      </x:c>
      <x:c r="D19" s="50" t="str">
        <x:v>있음</x:v>
      </x:c>
      <x:c r="E19" s="50" t="str">
        <x:v>없음</x:v>
      </x:c>
      <x:c r="F19" s="50" t="str">
        <x:v>tsunamiShelter route</x:v>
      </x:c>
      <x:c r="G19" s="64" t="str">
        <x:v>현재 UI 미사용/중복</x:v>
      </x:c>
      <x:c r="H19" s="51" t="str">
        <x:v>/api/shelter와 같은 DSSP-IF-10944</x:v>
      </x:c>
    </x:row>
    <x:row r="20" ht="58" customHeight="1">
      <x:c r="A20" s="49" t="str">
        <x:v>DISASTER_API_KEY</x:v>
      </x:c>
      <x:c r="B20" s="50" t="str">
        <x:v>Worker secret</x:v>
      </x:c>
      <x:c r="C20" s="50" t="str">
        <x:v>있음</x:v>
      </x:c>
      <x:c r="D20" s="50" t="str">
        <x:v>있음</x:v>
      </x:c>
      <x:c r="E20" s="50" t="str">
        <x:v>없음</x:v>
      </x:c>
      <x:c r="F20" s="50" t="str">
        <x:v>disaster route</x:v>
      </x:c>
      <x:c r="G20" s="56" t="str">
        <x:v>사용 중</x:v>
      </x:c>
      <x:c r="H20" s="51" t="str"/>
    </x:row>
    <x:row r="21" ht="58" customHeight="1">
      <x:c r="A21" s="49" t="str">
        <x:v>EQUIPMENT_API_KEY</x:v>
      </x:c>
      <x:c r="B21" s="50" t="str">
        <x:v>Worker secret</x:v>
      </x:c>
      <x:c r="C21" s="50" t="str">
        <x:v>있음</x:v>
      </x:c>
      <x:c r="D21" s="50" t="str">
        <x:v>있음</x:v>
      </x:c>
      <x:c r="E21" s="50" t="str">
        <x:v>없음</x:v>
      </x:c>
      <x:c r="F21" s="50" t="str">
        <x:v>equipment route</x:v>
      </x:c>
      <x:c r="G21" s="56" t="str">
        <x:v>사용 중</x:v>
      </x:c>
      <x:c r="H21" s="51" t="str"/>
    </x:row>
    <x:row r="22" ht="58" customHeight="1">
      <x:c r="A22" s="49" t="str">
        <x:v>CONSUMER_HAZARD_API_KEY</x:v>
      </x:c>
      <x:c r="B22" s="50" t="str">
        <x:v>Worker secret</x:v>
      </x:c>
      <x:c r="C22" s="50" t="str">
        <x:v>있음</x:v>
      </x:c>
      <x:c r="D22" s="50" t="str">
        <x:v>있음</x:v>
      </x:c>
      <x:c r="E22" s="50" t="str">
        <x:v>없음</x:v>
      </x:c>
      <x:c r="F22" s="50" t="str">
        <x:v>consumerHazard route</x:v>
      </x:c>
      <x:c r="G22" s="56" t="str">
        <x:v>사용 중</x:v>
      </x:c>
      <x:c r="H22" s="51" t="str"/>
    </x:row>
    <x:row r="23" ht="58" customHeight="1">
      <x:c r="A23" s="49" t="str">
        <x:v>AMBULANCE_API_KEY</x:v>
      </x:c>
      <x:c r="B23" s="50" t="str">
        <x:v>Worker secret</x:v>
      </x:c>
      <x:c r="C23" s="50" t="str">
        <x:v>있음</x:v>
      </x:c>
      <x:c r="D23" s="50" t="str">
        <x:v>있음</x:v>
      </x:c>
      <x:c r="E23" s="50" t="str">
        <x:v>없음</x:v>
      </x:c>
      <x:c r="F23" s="50" t="str">
        <x:v>ambulance route</x:v>
      </x:c>
      <x:c r="G23" s="56" t="str">
        <x:v>사용 중</x:v>
      </x:c>
      <x:c r="H23" s="51" t="str"/>
    </x:row>
    <x:row r="24" ht="58" customHeight="1">
      <x:c r="A24" s="49" t="str">
        <x:v>NAVER_CLIENT_ID</x:v>
      </x:c>
      <x:c r="B24" s="50" t="str">
        <x:v>Worker secret/var</x:v>
      </x:c>
      <x:c r="C24" s="50" t="str">
        <x:v>있음</x:v>
      </x:c>
      <x:c r="D24" s="50" t="str">
        <x:v>없음</x:v>
      </x:c>
      <x:c r="E24" s="50" t="str">
        <x:v>없음</x:v>
      </x:c>
      <x:c r="F24" s="50" t="str">
        <x:v>news route optional</x:v>
      </x:c>
      <x:c r="G24" s="56" t="str">
        <x:v>사용 중</x:v>
      </x:c>
      <x:c r="H24" s="51" t="str">
        <x:v>Naver 우선 사용하려면 wrangler 예시에 추가 권장</x:v>
      </x:c>
    </x:row>
    <x:row r="25" ht="58" customHeight="1">
      <x:c r="A25" s="49" t="str">
        <x:v>NAVER_CLIENT_SECRET</x:v>
      </x:c>
      <x:c r="B25" s="50" t="str">
        <x:v>Worker secret/var</x:v>
      </x:c>
      <x:c r="C25" s="50" t="str">
        <x:v>있음</x:v>
      </x:c>
      <x:c r="D25" s="50" t="str">
        <x:v>없음</x:v>
      </x:c>
      <x:c r="E25" s="50" t="str">
        <x:v>없음</x:v>
      </x:c>
      <x:c r="F25" s="50" t="str">
        <x:v>news route optional</x:v>
      </x:c>
      <x:c r="G25" s="56" t="str">
        <x:v>사용 중</x:v>
      </x:c>
      <x:c r="H25" s="51" t="str">
        <x:v>Naver 우선 사용하려면 wrangler 예시에 추가 권장</x:v>
      </x:c>
    </x:row>
    <x:row r="26" ht="58" customHeight="1">
      <x:c r="A26" s="49" t="str">
        <x:v>APP_ACCESS_TOKEN</x:v>
      </x:c>
      <x:c r="B26" s="50" t="str">
        <x:v>Worker + Front shared</x:v>
      </x:c>
      <x:c r="C26" s="50" t="str">
        <x:v>있음</x:v>
      </x:c>
      <x:c r="D26" s="50" t="str">
        <x:v>있음</x:v>
      </x:c>
      <x:c r="E26" s="50" t="str">
        <x:v>주석 있음</x:v>
      </x:c>
      <x:c r="F26" s="50" t="str">
        <x:v>CORS/token guard, telemetry</x:v>
      </x:c>
      <x:c r="G26" s="56" t="str">
        <x:v>사용 중</x:v>
      </x:c>
      <x:c r="H26" s="51" t="str">
        <x:v>운영 필수</x:v>
      </x:c>
    </x:row>
    <x:row r="27" ht="58" customHeight="1">
      <x:c r="A27" s="49" t="str">
        <x:v>VITE_KAKAO_MAP_KEY</x:v>
      </x:c>
      <x:c r="B27" s="50" t="str">
        <x:v>Frontend env</x:v>
      </x:c>
      <x:c r="C27" s="50" t="str">
        <x:v>해당 없음</x:v>
      </x:c>
      <x:c r="D27" s="50" t="str">
        <x:v>해당 없음</x:v>
      </x:c>
      <x:c r="E27" s="50" t="str">
        <x:v>있음</x:v>
      </x:c>
      <x:c r="F27" s="50" t="str">
        <x:v>kakaoLoader</x:v>
      </x:c>
      <x:c r="G27" s="56" t="str">
        <x:v>사용 중</x:v>
      </x:c>
      <x:c r="H27" s="51" t="str"/>
    </x:row>
    <x:row r="28" ht="58" customHeight="1">
      <x:c r="A28" s="49" t="str">
        <x:v>VITE_API_BASE</x:v>
      </x:c>
      <x:c r="B28" s="50" t="str">
        <x:v>Frontend env</x:v>
      </x:c>
      <x:c r="C28" s="50" t="str">
        <x:v>해당 없음</x:v>
      </x:c>
      <x:c r="D28" s="50" t="str">
        <x:v>해당 없음</x:v>
      </x:c>
      <x:c r="E28" s="50" t="str">
        <x:v>있음</x:v>
      </x:c>
      <x:c r="F28" s="50" t="str">
        <x:v>apiConfig</x:v>
      </x:c>
      <x:c r="G28" s="56" t="str">
        <x:v>사용 중</x:v>
      </x:c>
      <x:c r="H28" s="51" t="str">
        <x:v>미설정 시 기본 Worker URL 사용</x:v>
      </x:c>
    </x:row>
    <x:row r="29" ht="58" customHeight="1">
      <x:c r="A29" s="49" t="str">
        <x:v>VITE_APP_TOKEN</x:v>
      </x:c>
      <x:c r="B29" s="50" t="str">
        <x:v>Frontend env</x:v>
      </x:c>
      <x:c r="C29" s="50" t="str">
        <x:v>해당 없음</x:v>
      </x:c>
      <x:c r="D29" s="50" t="str">
        <x:v>해당 없음</x:v>
      </x:c>
      <x:c r="E29" s="50" t="str">
        <x:v>주석 있음</x:v>
      </x:c>
      <x:c r="F29" s="50" t="str">
        <x:v>apiConfig workerHeaders</x:v>
      </x:c>
      <x:c r="G29" s="56" t="str">
        <x:v>사용 중</x:v>
      </x:c>
      <x:c r="H29" s="51" t="str">
        <x:v>APP_ACCESS_TOKEN과 동일하게 설정</x:v>
      </x:c>
    </x:row>
    <x:row r="30" ht="58" customHeight="1">
      <x:c r="A30" s="49" t="str">
        <x:v>RESTROOM_API_KEY</x:v>
      </x:c>
      <x:c r="B30" s="50" t="str">
        <x:v>Local/script env</x:v>
      </x:c>
      <x:c r="C30" s="50" t="str">
        <x:v>해당 없음</x:v>
      </x:c>
      <x:c r="D30" s="50" t="str">
        <x:v>해당 없음</x:v>
      </x:c>
      <x:c r="E30" s="50" t="str">
        <x:v>있음</x:v>
      </x:c>
      <x:c r="F30" s="50" t="str">
        <x:v>scripts/sync-restrooms.js</x:v>
      </x:c>
      <x:c r="G30" s="74" t="str">
        <x:v>스크립트 전용</x:v>
      </x:c>
      <x:c r="H30" s="51" t="str">
        <x:v>정적 화장실 JSON 갱신용</x:v>
      </x:c>
    </x:row>
    <x:row r="31" ht="58" customHeight="1">
      <x:c r="A31" s="52" t="str">
        <x:v>PUBLIC_DATA_API_KEY</x:v>
      </x:c>
      <x:c r="B31" s="53" t="str">
        <x:v>Local/script env fallback</x:v>
      </x:c>
      <x:c r="C31" s="53" t="str">
        <x:v>해당 없음</x:v>
      </x:c>
      <x:c r="D31" s="53" t="str">
        <x:v>해당 없음</x:v>
      </x:c>
      <x:c r="E31" s="53" t="str">
        <x:v>주석 없음</x:v>
      </x:c>
      <x:c r="F31" s="53" t="str">
        <x:v>scripts/sync-restrooms.js</x:v>
      </x:c>
      <x:c r="G31" s="76" t="str">
        <x:v>스크립트 전용</x:v>
      </x:c>
      <x:c r="H31" s="54" t="str">
        <x:v>RESTROOM_API_KEY fallback</x:v>
      </x:c>
    </x:row>
  </x:sheetData>
  <x:pageMargins left="0.7" right="0.7" top="0.75" bottom="0.75" header="0.3" footer="0.3"/>
  <x:tableParts count="1">
    <x:tablePart xmlns:r="http://schemas.openxmlformats.org/officeDocument/2006/relationships" r:id="Re731445c4f8b48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42" hidden="0" customWidth="1"/>
    <x:col min="4" max="4" width="34" hidden="0" customWidth="1"/>
    <x:col min="5" max="5" width="22" hidden="0" customWidth="1"/>
    <x:col min="6" max="6" width="52" hidden="0" customWidth="1"/>
  </x:cols>
  <x:sheetData>
    <x:row r="1" ht="34" customHeight="1">
      <x:c r="A1" s="34" t="str">
        <x:v>데이터셋</x:v>
      </x:c>
      <x:c r="B1" s="35" t="str">
        <x:v>현재 경로</x:v>
      </x:c>
      <x:c r="C1" s="35" t="str">
        <x:v>원천/갱신 수단</x:v>
      </x:c>
      <x:c r="D1" s="35" t="str">
        <x:v>사용처</x:v>
      </x:c>
      <x:c r="E1" s="35" t="str">
        <x:v>상태</x:v>
      </x:c>
      <x:c r="F1" s="36" t="str">
        <x:v>관리 메모</x:v>
      </x:c>
    </x:row>
    <x:row r="2" ht="58" customHeight="1">
      <x:c r="A2" s="49" t="str">
        <x:v>소방용수시설</x:v>
      </x:c>
      <x:c r="B2" s="50" t="str">
        <x:v>/firewater/*.json</x:v>
      </x:c>
      <x:c r="C2" s="50" t="str">
        <x:v>scripts/convert-firewater-csv.js 및 data/firewater-csv</x:v>
      </x:c>
      <x:c r="D2" s="50" t="str">
        <x:v>App, KakaoMap</x:v>
      </x:c>
      <x:c r="E2" s="60" t="str">
        <x:v>사용 중(정적)</x:v>
      </x:c>
      <x:c r="F2" s="51" t="str">
        <x:v>대형 도시는 구별 분할 JSON을 사용합니다.</x:v>
      </x:c>
    </x:row>
    <x:row r="3" ht="58" customHeight="1">
      <x:c r="A3" s="49" t="str">
        <x:v>공중화장실</x:v>
      </x:c>
      <x:c r="B3" s="50" t="str">
        <x:v>/data/restrooms/*.json</x:v>
      </x:c>
      <x:c r="C3" s="50" t="str">
        <x:v>scripts/sync-restrooms.js + RESTROOM_API_KEY</x:v>
      </x:c>
      <x:c r="D3" s="50" t="str">
        <x:v>FacilitySearchView, OfflineDataSection</x:v>
      </x:c>
      <x:c r="E3" s="60" t="str">
        <x:v>사용 중(정적)</x:v>
      </x:c>
      <x:c r="F3" s="51" t="str">
        <x:v>구 단위 파일만 조회하도록 제한되어 있습니다.</x:v>
      </x:c>
    </x:row>
    <x:row r="4" ht="58" customHeight="1">
      <x:c r="A4" s="49" t="str">
        <x:v>지진해일 대피소 정적 파일</x:v>
      </x:c>
      <x:c r="B4" s="50" t="str">
        <x:v>/data/tsunami.json</x:v>
      </x:c>
      <x:c r="C4" s="50" t="str">
        <x:v>정적 JSON</x:v>
      </x:c>
      <x:c r="D4" s="50" t="str">
        <x:v>FacilitySearchView</x:v>
      </x:c>
      <x:c r="E4" s="60" t="str">
        <x:v>사용 중(정적)</x:v>
      </x:c>
      <x:c r="F4" s="51" t="str">
        <x:v>ShelterView는 /api/shelter를 쓰고 FacilitySearch는 정적 파일을 씁니다.</x:v>
      </x:c>
    </x:row>
    <x:row r="5" ht="58" customHeight="1">
      <x:c r="A5" s="49" t="str">
        <x:v>민방위 대피시설</x:v>
      </x:c>
      <x:c r="B5" s="50" t="str">
        <x:v>/data/civil.json</x:v>
      </x:c>
      <x:c r="C5" s="50" t="str">
        <x:v>정적 JSON</x:v>
      </x:c>
      <x:c r="D5" s="50" t="str">
        <x:v>FacilitySearchView</x:v>
      </x:c>
      <x:c r="E5" s="60" t="str">
        <x:v>사용 중(정적)</x:v>
      </x:c>
      <x:c r="F5" s="51" t="str">
        <x:v>/api/civil-shelter와 중복 가능성이 있습니다.</x:v>
      </x:c>
    </x:row>
    <x:row r="6" ht="58" customHeight="1">
      <x:c r="A6" s="49" t="str">
        <x:v>공휴일 정적 데이터</x:v>
      </x:c>
      <x:c r="B6" s="50" t="str">
        <x:v>src/data/holidays.ts</x:v>
      </x:c>
      <x:c r="C6" s="50" t="str">
        <x:v>수동/정적 데이터</x:v>
      </x:c>
      <x:c r="D6" s="50" t="str">
        <x:v>Calendar</x:v>
      </x:c>
      <x:c r="E6" s="60" t="str">
        <x:v>사용 중(정적)</x:v>
      </x:c>
      <x:c r="F6" s="51" t="str">
        <x:v>/api/holiday 라우트는 현재 화면에서 직접 쓰이지 않습니다.</x:v>
      </x:c>
    </x:row>
    <x:row r="7" ht="58" customHeight="1">
      <x:c r="A7" s="52" t="str">
        <x:v>위험물/화학물질 참고 데이터</x:v>
      </x:c>
      <x:c r="B7" s="53" t="str">
        <x:v>src/data/ergChemicals.ts 등</x:v>
      </x:c>
      <x:c r="C7" s="53" t="str">
        <x:v>앱 내 정적 데이터</x:v>
      </x:c>
      <x:c r="D7" s="53" t="str">
        <x:v>HazmatCalc</x:v>
      </x:c>
      <x:c r="E7" s="78" t="str">
        <x:v>사용 중(정적)</x:v>
      </x:c>
      <x:c r="F7" s="54" t="str">
        <x:v>API 의존성은 아닙니다.</x:v>
      </x:c>
    </x:row>
  </x:sheetData>
  <x:pageMargins left="0.7" right="0.7" top="0.75" bottom="0.75" header="0.3" footer="0.3"/>
  <x:tableParts count="1">
    <x:tablePart xmlns:r="http://schemas.openxmlformats.org/officeDocument/2006/relationships" r:id="R8ddccdaa212d43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2" hidden="0" customWidth="1"/>
    <x:col min="3" max="3" width="22" hidden="0" customWidth="1"/>
    <x:col min="4" max="4" width="52" hidden="0" customWidth="1"/>
    <x:col min="5" max="5" width="52" hidden="0" customWidth="1"/>
  </x:cols>
  <x:sheetData>
    <x:row r="1" ht="34" customHeight="1">
      <x:c r="A1" s="34" t="str">
        <x:v>후보/미사용 항목</x:v>
      </x:c>
      <x:c r="B1" s="35" t="str">
        <x:v>발견 위치</x:v>
      </x:c>
      <x:c r="C1" s="35" t="str">
        <x:v>현재 상태</x:v>
      </x:c>
      <x:c r="D1" s="35" t="str">
        <x:v>판단 포인트</x:v>
      </x:c>
      <x:c r="E1" s="36" t="str">
        <x:v>권장 액션</x:v>
      </x:c>
    </x:row>
    <x:row r="2" ht="58" customHeight="1">
      <x:c r="A2" s="49" t="str">
        <x:v>재난안전데이터 DSSP-IF-00028 풍속 API</x:v>
      </x:c>
      <x:c r="B2" s="50" t="str">
        <x:v>docs/feature_ideas.md</x:v>
      </x:c>
      <x:c r="C2" s="80" t="str">
        <x:v>후보</x:v>
      </x:c>
      <x:c r="D2" s="50" t="str">
        <x:v>소방 드론/항공 비행 안전 지수 아이디어에 언급됨. 구현 라우트 없음</x:v>
      </x:c>
      <x:c r="E2" s="51" t="str">
        <x:v>드론 탭을 만들 때 KMA 풍속으로 충분한지, 별도 Safetydata 풍속 API가 필요한지 결정</x:v>
      </x:c>
    </x:row>
    <x:row r="3" ht="58" customHeight="1">
      <x:c r="A3" s="49" t="str">
        <x:v>FIRE_INFO_API_KEY / /api/fire/*</x:v>
      </x:c>
      <x:c r="B3" s="50" t="str">
        <x:v>worker/src/routes/fireInfo.ts; src/services/apiClient.ts</x:v>
      </x:c>
      <x:c r="C3" s="66" t="str">
        <x:v>현재 UI 미사용</x:v>
      </x:c>
      <x:c r="D3" s="50" t="str">
        <x:v>Worker와 fetchFireInfo는 있으나 외부 참조 없음</x:v>
      </x:c>
      <x:c r="E3" s="51" t="str">
        <x:v>화재 현황 기능에 붙이거나 secret/라우트 정리</x:v>
      </x:c>
    </x:row>
    <x:row r="4" ht="58" customHeight="1">
      <x:c r="A4" s="49" t="str">
        <x:v>FIRE_WATER_API_KEY / /api/firewater</x:v>
      </x:c>
      <x:c r="B4" s="50" t="str">
        <x:v>worker/src/routes/firewater.ts</x:v>
      </x:c>
      <x:c r="C4" s="62" t="str">
        <x:v>현재 UI 미사용/정적 대체</x:v>
      </x:c>
      <x:c r="D4" s="50" t="str">
        <x:v>UI는 /firewater/*.json 사용</x:v>
      </x:c>
      <x:c r="E4" s="51" t="str">
        <x:v>동적 조회 요구가 없다면 운영 secret에서 제외 가능</x:v>
      </x:c>
    </x:row>
    <x:row r="5" ht="58" customHeight="1">
      <x:c r="A5" s="49" t="str">
        <x:v>HOLIDAY_API_KEY / /api/holiday</x:v>
      </x:c>
      <x:c r="B5" s="50" t="str">
        <x:v>worker/src/routes/holiday.ts; src/components/Calendar.tsx</x:v>
      </x:c>
      <x:c r="C5" s="62" t="str">
        <x:v>현재 UI 미사용/정적 대체</x:v>
      </x:c>
      <x:c r="D5" s="50" t="str">
        <x:v>Calendar는 getStaticHolidays만 사용</x:v>
      </x:c>
      <x:c r="E5" s="51" t="str">
        <x:v>README 업데이트 또는 Calendar를 API+fallback으로 전환</x:v>
      </x:c>
    </x:row>
    <x:row r="6" ht="58" customHeight="1">
      <x:c r="A6" s="49" t="str">
        <x:v>CIVIL_SHELTER_API_KEY / /api/civil-shelter</x:v>
      </x:c>
      <x:c r="B6" s="50" t="str">
        <x:v>worker/src/routes/civilShelter.ts</x:v>
      </x:c>
      <x:c r="C6" s="62" t="str">
        <x:v>현재 UI 미사용/정적 대체</x:v>
      </x:c>
      <x:c r="D6" s="50" t="str">
        <x:v>FacilitySearch는 /data/civil.json 직접 조회</x:v>
      </x:c>
      <x:c r="E6" s="51" t="str">
        <x:v>정적 갱신 정책을 명문화하거나 Worker route 연결</x:v>
      </x:c>
    </x:row>
    <x:row r="7" ht="58" customHeight="1">
      <x:c r="A7" s="49" t="str">
        <x:v>TSUNAMI_SHELTER_API_KEY / /api/tsunami-shelter</x:v>
      </x:c>
      <x:c r="B7" s="50" t="str">
        <x:v>worker/src/routes/tsunamiShelter.ts</x:v>
      </x:c>
      <x:c r="C7" s="64" t="str">
        <x:v>현재 UI 미사용/중복</x:v>
      </x:c>
      <x:c r="D7" s="50" t="str">
        <x:v>/api/shelter와 동일 DSSP-IF-10944 계열</x:v>
      </x:c>
      <x:c r="E7" s="51" t="str">
        <x:v>하나의 라우트/시크릿으로 통합 검토</x:v>
      </x:c>
    </x:row>
    <x:row r="8" ht="58" customHeight="1">
      <x:c r="A8" s="49" t="str">
        <x:v>KAKAO_MAP_KEY Worker secret</x:v>
      </x:c>
      <x:c r="B8" s="50" t="str">
        <x:v>worker/wrangler.toml.example</x:v>
      </x:c>
      <x:c r="C8" s="72" t="str">
        <x:v>설정 정리 필요</x:v>
      </x:c>
      <x:c r="D8" s="50" t="str">
        <x:v>wrangler 예시에만 있고 Worker Env interface/코드 사용 없음</x:v>
      </x:c>
      <x:c r="E8" s="51" t="str">
        <x:v>wrangler 예시에서 제거하거나 실제 Worker 사용처 추가</x:v>
      </x:c>
    </x:row>
    <x:row r="9" ht="58" customHeight="1">
      <x:c r="A9" s="52" t="str">
        <x:v>NAVER_CLIENT_ID/SECRET wrangler 예시 누락</x:v>
      </x:c>
      <x:c r="B9" s="53" t="str">
        <x:v>worker/src/index.ts; worker/src/routes/news.ts</x:v>
      </x:c>
      <x:c r="C9" s="82" t="str">
        <x:v>설정 정리 필요</x:v>
      </x:c>
      <x:c r="D9" s="53" t="str">
        <x:v>뉴스 라우트가 optional로 사용하지만 wrangler 예시 목록에는 없음</x:v>
      </x:c>
      <x:c r="E9" s="54" t="str">
        <x:v>Naver 우선 검색을 운영할 거면 예시에 추가</x:v>
      </x:c>
    </x:row>
  </x:sheetData>
  <x:pageMargins left="0.7" right="0.7" top="0.75" bottom="0.75" header="0.3" footer="0.3"/>
  <x:tableParts count="1">
    <x:tablePart xmlns:r="http://schemas.openxmlformats.org/officeDocument/2006/relationships" r:id="R18db995a380e401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42" hidden="0" customWidth="1"/>
    <x:col min="4" max="4" width="72" hidden="0" customWidth="1"/>
  </x:cols>
  <x:sheetData>
    <x:row r="1" ht="34" customHeight="1">
      <x:c r="A1" s="34" t="str">
        <x:v>항목</x:v>
      </x:c>
      <x:c r="B1" s="35" t="str">
        <x:v>근거 종류</x:v>
      </x:c>
      <x:c r="C1" s="35" t="str">
        <x:v>파일/라인</x:v>
      </x:c>
      <x:c r="D1" s="36" t="str">
        <x:v>확인 내용</x:v>
      </x:c>
    </x:row>
    <x:row r="2" ht="58" customHeight="1">
      <x:c r="A2" s="49" t="str">
        <x:v>라우트 등록</x:v>
      </x:c>
      <x:c r="B2" s="50" t="str">
        <x:v>Worker dispatch</x:v>
      </x:c>
      <x:c r="C2" s="50" t="str">
        <x:v>worker/src/index.ts:140-167</x:v>
      </x:c>
      <x:c r="D2" s="51" t="str">
        <x:v>공공 API 라우트 대부분이 /api/*로 등록되어 있습니다.</x:v>
      </x:c>
    </x:row>
    <x:row r="3" ht="58" customHeight="1">
      <x:c r="A3" s="49" t="str">
        <x:v>프런트 API 베이스</x:v>
      </x:c>
      <x:c r="B3" s="50" t="str">
        <x:v>설정</x:v>
      </x:c>
      <x:c r="C3" s="50" t="str">
        <x:v>src/services/apiConfig.ts:1</x:v>
      </x:c>
      <x:c r="D3" s="51" t="str">
        <x:v>VITE_API_BASE 미설정 시 프로덕션 Worker URL을 사용합니다.</x:v>
      </x:c>
    </x:row>
    <x:row r="4" ht="58" customHeight="1">
      <x:c r="A4" s="49" t="str">
        <x:v>공공 API 키 위치</x:v>
      </x:c>
      <x:c r="B4" s="50" t="str">
        <x:v>보안</x:v>
      </x:c>
      <x:c r="C4" s="50" t="str">
        <x:v>.env.example:22-24</x:v>
      </x:c>
      <x:c r="D4" s="51" t="str">
        <x:v>공공데이터 키는 프런트 .env가 아니라 Worker secret으로 등록하라고 안내합니다.</x:v>
      </x:c>
    </x:row>
    <x:row r="5" ht="58" customHeight="1">
      <x:c r="A5" s="49" t="str">
        <x:v>소방용수 현재 경로</x:v>
      </x:c>
      <x:c r="B5" s="50" t="str">
        <x:v>정적 사용</x:v>
      </x:c>
      <x:c r="C5" s="50" t="str">
        <x:v>src/services/fireWaterApi.ts:44-75</x:v>
      </x:c>
      <x:c r="D5" s="51" t="str">
        <x:v>UI는 /firewater/*.json 정적 데이터를 직접 fetch합니다.</x:v>
      </x:c>
    </x:row>
    <x:row r="6" ht="58" customHeight="1">
      <x:c r="A6" s="49" t="str">
        <x:v>화장실 현재 경로</x:v>
      </x:c>
      <x:c r="B6" s="50" t="str">
        <x:v>정적 사용</x:v>
      </x:c>
      <x:c r="C6" s="50" t="str">
        <x:v>src/services/restroomApi.ts:34-63</x:v>
      </x:c>
      <x:c r="D6" s="51" t="str">
        <x:v>UI는 /data/restrooms/*.json 정적 데이터를 직접 fetch합니다.</x:v>
      </x:c>
    </x:row>
    <x:row r="7" ht="58" customHeight="1">
      <x:c r="A7" s="49" t="str">
        <x:v>민방위 현재 경로</x:v>
      </x:c>
      <x:c r="B7" s="50" t="str">
        <x:v>정적 사용</x:v>
      </x:c>
      <x:c r="C7" s="50" t="str">
        <x:v>src/services/apiClient.ts:553-568</x:v>
      </x:c>
      <x:c r="D7" s="51" t="str">
        <x:v>fetchCivilShelters는 /data/civil.json을 직접 fetch합니다.</x:v>
      </x:c>
    </x:row>
    <x:row r="8" ht="58" customHeight="1">
      <x:c r="A8" s="49" t="str">
        <x:v>공휴일 현재 경로</x:v>
      </x:c>
      <x:c r="B8" s="50" t="str">
        <x:v>정적 사용</x:v>
      </x:c>
      <x:c r="C8" s="50" t="str">
        <x:v>src/components/Calendar.tsx</x:v>
      </x:c>
      <x:c r="D8" s="51" t="str">
        <x:v>Calendar는 getStaticHolidays를 사용하고 holidayApi 외부 참조가 없습니다.</x:v>
      </x:c>
    </x:row>
    <x:row r="9" ht="58" customHeight="1">
      <x:c r="A9" s="49" t="str">
        <x:v>FIRE_INFO 미사용</x:v>
      </x:c>
      <x:c r="B9" s="50" t="str">
        <x:v>참조 스캔</x:v>
      </x:c>
      <x:c r="C9" s="50" t="str">
        <x:v>src/services/apiClient.ts:586</x:v>
      </x:c>
      <x:c r="D9" s="51" t="str">
        <x:v>fetchFireInfo는 정의되어 있으나 외부 참조가 없습니다.</x:v>
      </x:c>
    </x:row>
    <x:row r="10" ht="58" customHeight="1">
      <x:c r="A10" s="49" t="str">
        <x:v>TSUNAMI 중복</x:v>
      </x:c>
      <x:c r="B10" s="50" t="str">
        <x:v>라우트 스캔</x:v>
      </x:c>
      <x:c r="C10" s="50" t="str">
        <x:v>worker/src/routes/shelter.ts; tsunamiShelter.ts</x:v>
      </x:c>
      <x:c r="D10" s="51" t="str">
        <x:v>두 라우트 모두 DSSP-IF-10944 계열입니다.</x:v>
      </x:c>
    </x:row>
    <x:row r="11" ht="58" customHeight="1">
      <x:c r="A11" s="52" t="str">
        <x:v>기획 후보</x:v>
      </x:c>
      <x:c r="B11" s="53" t="str">
        <x:v>문서</x:v>
      </x:c>
      <x:c r="C11" s="53" t="str">
        <x:v>docs/feature_ideas.md</x:v>
      </x:c>
      <x:c r="D11" s="54" t="str">
        <x:v>드론/항공 비행 안전 지수에서 DSSP-IF-00028 풍속 API가 후보로 언급됩니다.</x:v>
      </x:c>
    </x:row>
  </x:sheetData>
  <x:pageMargins left="0.7" right="0.7" top="0.75" bottom="0.75" header="0.3" footer="0.3"/>
  <x:tableParts count="1">
    <x:tablePart xmlns:r="http://schemas.openxmlformats.org/officeDocument/2006/relationships" r:id="R8a479feaeb6940d0"/>
  </x:tableParts>
</x:worksheet>
</file>